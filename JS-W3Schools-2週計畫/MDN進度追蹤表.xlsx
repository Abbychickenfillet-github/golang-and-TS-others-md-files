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DN進度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<sst xmlns="http://schemas.openxmlformats.org/spreadsheetml/2006/main" count="51" uniqueCount="51">
  <si>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r>
      <rPr>
        <b val="true"/>
        <sz val="16"/>
        <color rgb="FF0B7285"/>
        <rFont val="Arial"/>
        <family val="0"/>
        <charset val="1"/>
      </rPr>
      <t xml:space="preserve">MDN JavaScript </t>
    </r>
    <r>
      <rPr>
        <b val="true"/>
        <sz val="16"/>
        <color rgb="FF0B7285"/>
        <rFont val="DejaVu Sans"/>
        <family val="2"/>
      </rPr>
      <t xml:space="preserve">完整計畫 — 進度追蹤</t>
    </r>
  </si>
  <si>
    <r>
      <rPr>
        <i val="true"/>
        <sz val="10"/>
        <color rgb="FF595959"/>
        <rFont val="DejaVu Sans"/>
        <family val="2"/>
      </rPr>
      <t xml:space="preserve">搭配 </t>
    </r>
    <r>
      <rPr>
        <i val="true"/>
        <sz val="10"/>
        <color rgb="FF595959"/>
        <rFont val="Arial"/>
        <family val="0"/>
        <charset val="1"/>
      </rPr>
      <t xml:space="preserve">W3Schools </t>
    </r>
    <r>
      <rPr>
        <i val="true"/>
        <sz val="10"/>
        <color rgb="FF595959"/>
        <rFont val="DejaVu Sans"/>
        <family val="2"/>
      </rPr>
      <t xml:space="preserve">之後的深讀（早上 </t>
    </r>
    <r>
      <rPr>
        <i val="true"/>
        <sz val="10"/>
        <color rgb="FF595959"/>
        <rFont val="Arial"/>
        <family val="0"/>
        <charset val="1"/>
      </rPr>
      <t xml:space="preserve">9:00</t>
    </r>
    <r>
      <rPr>
        <i val="true"/>
        <sz val="10"/>
        <color rgb="FF595959"/>
        <rFont val="DejaVu Sans"/>
        <family val="2"/>
      </rPr>
      <t xml:space="preserve">）｜完成就在「完成」欄選 ✓</t>
    </r>
  </si>
  <si>
    <t xml:space="preserve">開始日期：</t>
  </si>
  <si>
    <t xml:space="preserve">整體完成度：</t>
  </si>
  <si>
    <t xml:space="preserve">天數</t>
  </si>
  <si>
    <t xml:space="preserve">日期</t>
  </si>
  <si>
    <r>
      <rPr>
        <b val="true"/>
        <sz val="11"/>
        <color rgb="FFFFFFFF"/>
        <rFont val="Arial"/>
        <family val="0"/>
        <charset val="1"/>
      </rPr>
      <t xml:space="preserve">MDN </t>
    </r>
    <r>
      <rPr>
        <b val="true"/>
        <sz val="11"/>
        <color rgb="FFFFFFFF"/>
        <rFont val="DejaVu Sans"/>
        <family val="2"/>
      </rPr>
      <t xml:space="preserve">主題</t>
    </r>
  </si>
  <si>
    <t xml:space="preserve">完成</t>
  </si>
  <si>
    <r>
      <rPr>
        <b val="true"/>
        <sz val="11"/>
        <color rgb="FFFFFFFF"/>
        <rFont val="DejaVu Sans"/>
        <family val="2"/>
      </rPr>
      <t xml:space="preserve">卡關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筆記</t>
    </r>
  </si>
  <si>
    <r>
      <rPr>
        <b val="true"/>
        <sz val="11"/>
        <color rgb="FF0B7285"/>
        <rFont val="Arial"/>
        <family val="0"/>
        <charset val="1"/>
      </rPr>
      <t xml:space="preserve">Part 1</t>
    </r>
    <r>
      <rPr>
        <b val="true"/>
        <sz val="11"/>
        <color rgb="FF0B7285"/>
        <rFont val="DejaVu Sans"/>
        <family val="2"/>
      </rPr>
      <t xml:space="preserve">：</t>
    </r>
    <r>
      <rPr>
        <b val="true"/>
        <sz val="11"/>
        <color rgb="FF0B7285"/>
        <rFont val="Arial"/>
        <family val="0"/>
        <charset val="1"/>
      </rPr>
      <t xml:space="preserve">MDN Guide </t>
    </r>
    <r>
      <rPr>
        <b val="true"/>
        <sz val="11"/>
        <color rgb="FF0B7285"/>
        <rFont val="DejaVu Sans"/>
        <family val="2"/>
      </rPr>
      <t xml:space="preserve">深讀（對照 </t>
    </r>
    <r>
      <rPr>
        <b val="true"/>
        <sz val="11"/>
        <color rgb="FF0B7285"/>
        <rFont val="Arial"/>
        <family val="0"/>
        <charset val="1"/>
      </rPr>
      <t xml:space="preserve">W3Schools</t>
    </r>
    <r>
      <rPr>
        <b val="true"/>
        <sz val="11"/>
        <color rgb="FF0B7285"/>
        <rFont val="DejaVu Sans"/>
        <family val="2"/>
      </rPr>
      <t xml:space="preserve">）</t>
    </r>
  </si>
  <si>
    <t xml:space="preserve">Day 1</t>
  </si>
  <si>
    <r>
      <rPr>
        <sz val="10"/>
        <rFont val="Arial"/>
        <family val="0"/>
        <charset val="1"/>
      </rPr>
      <t xml:space="preserve">Grammar and types</t>
    </r>
    <r>
      <rPr>
        <sz val="10"/>
        <rFont val="DejaVu Sans"/>
        <family val="2"/>
      </rPr>
      <t xml:space="preserve">（宣告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作用域</t>
    </r>
    <r>
      <rPr>
        <sz val="10"/>
        <rFont val="Arial"/>
        <family val="0"/>
        <charset val="1"/>
      </rPr>
      <t xml:space="preserve">/hoisting/</t>
    </r>
    <r>
      <rPr>
        <sz val="10"/>
        <rFont val="DejaVu Sans"/>
        <family val="2"/>
      </rPr>
      <t xml:space="preserve">型別）</t>
    </r>
  </si>
  <si>
    <t xml:space="preserve">Day 2</t>
  </si>
  <si>
    <t xml:space="preserve">Expressions and operators</t>
  </si>
  <si>
    <t xml:space="preserve">Day 3</t>
  </si>
  <si>
    <r>
      <rPr>
        <sz val="10"/>
        <rFont val="Arial"/>
        <family val="0"/>
        <charset val="1"/>
      </rPr>
      <t xml:space="preserve">Control flow &amp; error handling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try/catch</t>
    </r>
    <r>
      <rPr>
        <sz val="10"/>
        <rFont val="DejaVu Sans"/>
        <family val="2"/>
      </rPr>
      <t xml:space="preserve">）</t>
    </r>
  </si>
  <si>
    <t xml:space="preserve">Day 4</t>
  </si>
  <si>
    <r>
      <rPr>
        <sz val="10"/>
        <rFont val="Arial"/>
        <family val="0"/>
        <charset val="1"/>
      </rPr>
      <t xml:space="preserve">Loops and iteration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for...in vs for...of</t>
    </r>
    <r>
      <rPr>
        <sz val="10"/>
        <rFont val="DejaVu Sans"/>
        <family val="2"/>
      </rPr>
      <t xml:space="preserve">）</t>
    </r>
  </si>
  <si>
    <t xml:space="preserve">Day 5</t>
  </si>
  <si>
    <t xml:space="preserve">Numbers and strings</t>
  </si>
  <si>
    <t xml:space="preserve">Day 6</t>
  </si>
  <si>
    <t xml:space="preserve">Representing dates &amp; times</t>
  </si>
  <si>
    <t xml:space="preserve">Day 7</t>
  </si>
  <si>
    <r>
      <rPr>
        <sz val="10"/>
        <rFont val="Arial"/>
        <family val="0"/>
        <charset val="1"/>
      </rPr>
      <t xml:space="preserve">Functions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closure / </t>
    </r>
    <r>
      <rPr>
        <sz val="10"/>
        <rFont val="DejaVu Sans"/>
        <family val="2"/>
      </rPr>
      <t xml:space="preserve">箭頭）★重點</t>
    </r>
  </si>
  <si>
    <t xml:space="preserve">Day 8</t>
  </si>
  <si>
    <r>
      <rPr>
        <sz val="10"/>
        <rFont val="Arial"/>
        <family val="0"/>
        <charset val="1"/>
      </rPr>
      <t xml:space="preserve">Working with objects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this</t>
    </r>
    <r>
      <rPr>
        <sz val="10"/>
        <rFont val="DejaVu Sans"/>
        <family val="2"/>
      </rPr>
      <t xml:space="preserve">）</t>
    </r>
  </si>
  <si>
    <t xml:space="preserve">Day 9</t>
  </si>
  <si>
    <r>
      <rPr>
        <sz val="10"/>
        <rFont val="Arial"/>
        <family val="0"/>
        <charset val="1"/>
      </rPr>
      <t xml:space="preserve">Indexed collections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Array</t>
    </r>
    <r>
      <rPr>
        <sz val="10"/>
        <rFont val="DejaVu Sans"/>
        <family val="2"/>
      </rPr>
      <t xml:space="preserve">）</t>
    </r>
  </si>
  <si>
    <t xml:space="preserve">Day 10</t>
  </si>
  <si>
    <r>
      <rPr>
        <sz val="10"/>
        <rFont val="Arial"/>
        <family val="0"/>
        <charset val="1"/>
      </rPr>
      <t xml:space="preserve">Keyed collections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Map/Set</t>
    </r>
    <r>
      <rPr>
        <sz val="10"/>
        <rFont val="DejaVu Sans"/>
        <family val="2"/>
      </rPr>
      <t xml:space="preserve">）</t>
    </r>
  </si>
  <si>
    <t xml:space="preserve">Day 11</t>
  </si>
  <si>
    <t xml:space="preserve">Regular expressions</t>
  </si>
  <si>
    <t xml:space="preserve">Day 12</t>
  </si>
  <si>
    <t xml:space="preserve">Using classes</t>
  </si>
  <si>
    <t xml:space="preserve">Day 13</t>
  </si>
  <si>
    <t xml:space="preserve">JSON + Internationalization</t>
  </si>
  <si>
    <t xml:space="preserve">Day 14</t>
  </si>
  <si>
    <r>
      <rPr>
        <sz val="10"/>
        <rFont val="DejaVu Sans"/>
        <family val="2"/>
      </rPr>
      <t xml:space="preserve">語言總覽複習 </t>
    </r>
    <r>
      <rPr>
        <sz val="10"/>
        <rFont val="Arial"/>
        <family val="0"/>
        <charset val="1"/>
      </rPr>
      <t xml:space="preserve">+ Reference </t>
    </r>
    <r>
      <rPr>
        <sz val="10"/>
        <rFont val="DejaVu Sans"/>
        <family val="2"/>
      </rPr>
      <t xml:space="preserve">掃描</t>
    </r>
  </si>
  <si>
    <r>
      <rPr>
        <b val="true"/>
        <sz val="11"/>
        <color rgb="FF0B7285"/>
        <rFont val="Arial"/>
        <family val="0"/>
        <charset val="1"/>
      </rPr>
      <t xml:space="preserve">Part 2</t>
    </r>
    <r>
      <rPr>
        <b val="true"/>
        <sz val="11"/>
        <color rgb="FF0B7285"/>
        <rFont val="DejaVu Sans"/>
        <family val="2"/>
      </rPr>
      <t xml:space="preserve">：進階主題（面試重點）</t>
    </r>
  </si>
  <si>
    <t xml:space="preserve">Day 15</t>
  </si>
  <si>
    <r>
      <rPr>
        <sz val="10"/>
        <rFont val="DejaVu Sans"/>
        <family val="2"/>
      </rPr>
      <t xml:space="preserve">原型與繼承 </t>
    </r>
    <r>
      <rPr>
        <sz val="10"/>
        <rFont val="Arial"/>
        <family val="0"/>
        <charset val="1"/>
      </rPr>
      <t xml:space="preserve">prototype chain ★</t>
    </r>
  </si>
  <si>
    <t xml:space="preserve">Day 16</t>
  </si>
  <si>
    <r>
      <rPr>
        <sz val="10"/>
        <rFont val="Arial"/>
        <family val="0"/>
        <charset val="1"/>
      </rPr>
      <t xml:space="preserve">Promise</t>
    </r>
    <r>
      <rPr>
        <sz val="10"/>
        <rFont val="DejaVu Sans"/>
        <family val="2"/>
      </rPr>
      <t xml:space="preserve">（非同步）★</t>
    </r>
  </si>
  <si>
    <t xml:space="preserve">Day 17</t>
  </si>
  <si>
    <r>
      <rPr>
        <sz val="10"/>
        <rFont val="Arial"/>
        <family val="0"/>
        <charset val="1"/>
      </rPr>
      <t xml:space="preserve">async/await + </t>
    </r>
    <r>
      <rPr>
        <sz val="10"/>
        <rFont val="DejaVu Sans"/>
        <family val="2"/>
      </rPr>
      <t xml:space="preserve">事件迴圈 ★</t>
    </r>
  </si>
  <si>
    <t xml:space="preserve">Day 18</t>
  </si>
  <si>
    <t xml:space="preserve">Iterators &amp; Generators</t>
  </si>
  <si>
    <t xml:space="preserve">Day 19</t>
  </si>
  <si>
    <r>
      <rPr>
        <sz val="10"/>
        <rFont val="Arial"/>
        <family val="0"/>
        <charset val="1"/>
      </rPr>
      <t xml:space="preserve">Modules</t>
    </r>
    <r>
      <rPr>
        <sz val="10"/>
        <rFont val="DejaVu Sans"/>
        <family val="2"/>
      </rPr>
      <t xml:space="preserve">（</t>
    </r>
    <r>
      <rPr>
        <sz val="10"/>
        <rFont val="Arial"/>
        <family val="0"/>
        <charset val="1"/>
      </rPr>
      <t xml:space="preserve">import/export</t>
    </r>
    <r>
      <rPr>
        <sz val="10"/>
        <rFont val="DejaVu Sans"/>
        <family val="2"/>
      </rPr>
      <t xml:space="preserve">）</t>
    </r>
  </si>
  <si>
    <t xml:space="preserve">Day 20</t>
  </si>
  <si>
    <r>
      <rPr>
        <sz val="10"/>
        <rFont val="Arial"/>
        <family val="0"/>
        <charset val="1"/>
      </rPr>
      <t xml:space="preserve">Proxy/Reflect + </t>
    </r>
    <r>
      <rPr>
        <sz val="10"/>
        <rFont val="DejaVu Sans"/>
        <family val="2"/>
      </rPr>
      <t xml:space="preserve">記憶體管理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</si>
</sst>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/d"/>
    <numFmt numFmtId="166" formatCode="0.0%"/>
    <numFmt numFmtId="167" formatCode="m/d&quot; (&quot;AAA\)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7285"/>
      <name val="Arial"/>
      <family val="0"/>
      <charset val="1"/>
    </font>
    <font>
      <b val="true"/>
      <sz val="16"/>
      <color rgb="FF0B7285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1"/>
      <name val="DejaVu Sans"/>
      <family val="2"/>
    </font>
    <font>
      <b val="true"/>
      <sz val="11"/>
      <color rgb="FF0000FF"/>
      <name val="Arial"/>
      <family val="0"/>
      <charset val="1"/>
    </font>
    <font>
      <b val="true"/>
      <sz val="12"/>
      <color rgb="FF0B7285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B7285"/>
      <name val="Arial"/>
      <family val="0"/>
      <charset val="1"/>
    </font>
    <font>
      <b val="true"/>
      <sz val="11"/>
      <color rgb="FF0B7285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3F0F2"/>
      </patternFill>
    </fill>
    <fill>
      <patternFill patternType="solid">
        <fgColor rgb="FF0B7285"/>
        <bgColor rgb="FF008080"/>
      </patternFill>
    </fill>
    <fill>
      <patternFill patternType="solid">
        <fgColor rgb="FFD3F0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D8DC"/>
      </left>
      <right style="thin">
        <color rgb="FFBFD8DC"/>
      </right>
      <top style="thin">
        <color rgb="FFBFD8DC"/>
      </top>
      <bottom style="thin">
        <color rgb="FFBFD8DC"/>
      </bottom>
      <diagonal/>
    </border>
    <border diagonalUp="false" diagonalDown="false">
      <left style="thin">
        <color rgb="FFBFD8DC"/>
      </left>
      <right/>
      <top style="thin">
        <color rgb="FFBFD8DC"/>
      </top>
      <bottom style="thin">
        <color rgb="FFBF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C0C0C0"/>
      <rgbColor rgb="FF808080"/>
      <rgbColor rgb="FF9999FF"/>
      <rgbColor rgb="FF993366"/>
      <rgbColor rgb="FFFFF2CC"/>
      <rgbColor rgb="FFD3F0F2"/>
      <rgbColor rgb="FF660066"/>
      <rgbColor rgb="FFFF8080"/>
      <rgbColor rgb="FF0066CC"/>
      <rgbColor rgb="FFB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8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n">
        <v>46192</v>
      </c>
      <c r="C4" s="5" t="s">
        <v>3</v>
      </c>
      <c r="D4" s="6" t="n">
        <f aca="false">COUNTIF(D8:D29,"✓")/20</f>
        <v>0</v>
      </c>
    </row>
    <row r="6" customFormat="false" ht="15" hidden="false" customHeight="false" outlineLevel="0" collapsed="false">
      <c r="A6" s="7" t="s">
        <v>4</v>
      </c>
      <c r="B6" s="7" t="s">
        <v>5</v>
      </c>
      <c r="C6" s="8" t="s">
        <v>6</v>
      </c>
      <c r="D6" s="7" t="s">
        <v>7</v>
      </c>
      <c r="E6" s="7" t="s">
        <v>8</v>
      </c>
    </row>
    <row r="7" customFormat="false" ht="14.9" hidden="false" customHeight="false" outlineLevel="0" collapsed="false">
      <c r="A7" s="9" t="s">
        <v>9</v>
      </c>
      <c r="B7" s="9"/>
      <c r="C7" s="9"/>
      <c r="D7" s="9"/>
      <c r="E7" s="9"/>
    </row>
    <row r="8" customFormat="false" ht="15" hidden="false" customHeight="false" outlineLevel="0" collapsed="false">
      <c r="A8" s="10" t="s">
        <v>10</v>
      </c>
      <c r="B8" s="11" t="n">
        <f aca="false">$B$4+0</f>
        <v>46192</v>
      </c>
      <c r="C8" s="12" t="s">
        <v>11</v>
      </c>
      <c r="D8" s="10"/>
      <c r="E8" s="12"/>
    </row>
    <row r="9" customFormat="false" ht="15" hidden="false" customHeight="false" outlineLevel="0" collapsed="false">
      <c r="A9" s="10" t="s">
        <v>12</v>
      </c>
      <c r="B9" s="11" t="n">
        <f aca="false">$B$4+1</f>
        <v>46193</v>
      </c>
      <c r="C9" s="12" t="s">
        <v>13</v>
      </c>
      <c r="D9" s="10"/>
      <c r="E9" s="12"/>
    </row>
    <row r="10" customFormat="false" ht="15" hidden="false" customHeight="false" outlineLevel="0" collapsed="false">
      <c r="A10" s="10" t="s">
        <v>14</v>
      </c>
      <c r="B10" s="11" t="n">
        <f aca="false">$B$4+2</f>
        <v>46194</v>
      </c>
      <c r="C10" s="12" t="s">
        <v>15</v>
      </c>
      <c r="D10" s="10"/>
      <c r="E10" s="12"/>
    </row>
    <row r="11" customFormat="false" ht="15" hidden="false" customHeight="false" outlineLevel="0" collapsed="false">
      <c r="A11" s="10" t="s">
        <v>16</v>
      </c>
      <c r="B11" s="11" t="n">
        <f aca="false">$B$4+3</f>
        <v>46195</v>
      </c>
      <c r="C11" s="12" t="s">
        <v>17</v>
      </c>
      <c r="D11" s="10"/>
      <c r="E11" s="12"/>
    </row>
    <row r="12" customFormat="false" ht="15" hidden="false" customHeight="false" outlineLevel="0" collapsed="false">
      <c r="A12" s="10" t="s">
        <v>18</v>
      </c>
      <c r="B12" s="11" t="n">
        <f aca="false">$B$4+4</f>
        <v>46196</v>
      </c>
      <c r="C12" s="12" t="s">
        <v>19</v>
      </c>
      <c r="D12" s="10"/>
      <c r="E12" s="12"/>
    </row>
    <row r="13" customFormat="false" ht="15" hidden="false" customHeight="false" outlineLevel="0" collapsed="false">
      <c r="A13" s="10" t="s">
        <v>20</v>
      </c>
      <c r="B13" s="11" t="n">
        <f aca="false">$B$4+5</f>
        <v>46197</v>
      </c>
      <c r="C13" s="12" t="s">
        <v>21</v>
      </c>
      <c r="D13" s="10"/>
      <c r="E13" s="12"/>
    </row>
    <row r="14" customFormat="false" ht="15" hidden="false" customHeight="false" outlineLevel="0" collapsed="false">
      <c r="A14" s="10" t="s">
        <v>22</v>
      </c>
      <c r="B14" s="11" t="n">
        <f aca="false">$B$4+6</f>
        <v>46198</v>
      </c>
      <c r="C14" s="12" t="s">
        <v>23</v>
      </c>
      <c r="D14" s="10"/>
      <c r="E14" s="12"/>
    </row>
    <row r="15" customFormat="false" ht="15" hidden="false" customHeight="false" outlineLevel="0" collapsed="false">
      <c r="A15" s="10" t="s">
        <v>24</v>
      </c>
      <c r="B15" s="11" t="n">
        <f aca="false">$B$4+7</f>
        <v>46199</v>
      </c>
      <c r="C15" s="12" t="s">
        <v>25</v>
      </c>
      <c r="D15" s="10"/>
      <c r="E15" s="12"/>
    </row>
    <row r="16" customFormat="false" ht="15" hidden="false" customHeight="false" outlineLevel="0" collapsed="false">
      <c r="A16" s="10" t="s">
        <v>26</v>
      </c>
      <c r="B16" s="11" t="n">
        <f aca="false">$B$4+8</f>
        <v>46200</v>
      </c>
      <c r="C16" s="12" t="s">
        <v>27</v>
      </c>
      <c r="D16" s="10"/>
      <c r="E16" s="12"/>
    </row>
    <row r="17" customFormat="false" ht="15" hidden="false" customHeight="false" outlineLevel="0" collapsed="false">
      <c r="A17" s="10" t="s">
        <v>28</v>
      </c>
      <c r="B17" s="11" t="n">
        <f aca="false">$B$4+9</f>
        <v>46201</v>
      </c>
      <c r="C17" s="12" t="s">
        <v>29</v>
      </c>
      <c r="D17" s="10"/>
      <c r="E17" s="12"/>
    </row>
    <row r="18" customFormat="false" ht="15" hidden="false" customHeight="false" outlineLevel="0" collapsed="false">
      <c r="A18" s="10" t="s">
        <v>30</v>
      </c>
      <c r="B18" s="11" t="n">
        <f aca="false">$B$4+10</f>
        <v>46202</v>
      </c>
      <c r="C18" s="12" t="s">
        <v>31</v>
      </c>
      <c r="D18" s="10"/>
      <c r="E18" s="12"/>
    </row>
    <row r="19" customFormat="false" ht="15" hidden="false" customHeight="false" outlineLevel="0" collapsed="false">
      <c r="A19" s="10" t="s">
        <v>32</v>
      </c>
      <c r="B19" s="11" t="n">
        <f aca="false">$B$4+11</f>
        <v>46203</v>
      </c>
      <c r="C19" s="12" t="s">
        <v>33</v>
      </c>
      <c r="D19" s="10"/>
      <c r="E19" s="12"/>
    </row>
    <row r="20" customFormat="false" ht="15" hidden="false" customHeight="false" outlineLevel="0" collapsed="false">
      <c r="A20" s="10" t="s">
        <v>34</v>
      </c>
      <c r="B20" s="11" t="n">
        <f aca="false">$B$4+12</f>
        <v>46204</v>
      </c>
      <c r="C20" s="12" t="s">
        <v>35</v>
      </c>
      <c r="D20" s="10"/>
      <c r="E20" s="12"/>
    </row>
    <row r="21" customFormat="false" ht="15" hidden="false" customHeight="false" outlineLevel="0" collapsed="false">
      <c r="A21" s="10" t="s">
        <v>36</v>
      </c>
      <c r="B21" s="11" t="n">
        <f aca="false">$B$4+13</f>
        <v>46205</v>
      </c>
      <c r="C21" s="13" t="s">
        <v>37</v>
      </c>
      <c r="D21" s="10"/>
      <c r="E21" s="12"/>
    </row>
    <row r="22" customFormat="false" ht="14.9" hidden="false" customHeight="false" outlineLevel="0" collapsed="false">
      <c r="A22" s="9" t="s">
        <v>38</v>
      </c>
      <c r="B22" s="9"/>
      <c r="C22" s="9"/>
      <c r="D22" s="9"/>
      <c r="E22" s="9"/>
    </row>
    <row r="23" customFormat="false" ht="15" hidden="false" customHeight="false" outlineLevel="0" collapsed="false">
      <c r="A23" s="10" t="s">
        <v>39</v>
      </c>
      <c r="B23" s="11" t="n">
        <f aca="false">$B$4+14</f>
        <v>46206</v>
      </c>
      <c r="C23" s="13" t="s">
        <v>40</v>
      </c>
      <c r="D23" s="10"/>
      <c r="E23" s="12"/>
    </row>
    <row r="24" customFormat="false" ht="15" hidden="false" customHeight="false" outlineLevel="0" collapsed="false">
      <c r="A24" s="10" t="s">
        <v>41</v>
      </c>
      <c r="B24" s="11" t="n">
        <f aca="false">$B$4+15</f>
        <v>46207</v>
      </c>
      <c r="C24" s="12" t="s">
        <v>42</v>
      </c>
      <c r="D24" s="10"/>
      <c r="E24" s="12"/>
    </row>
    <row r="25" customFormat="false" ht="15" hidden="false" customHeight="false" outlineLevel="0" collapsed="false">
      <c r="A25" s="10" t="s">
        <v>43</v>
      </c>
      <c r="B25" s="11" t="n">
        <f aca="false">$B$4+16</f>
        <v>46208</v>
      </c>
      <c r="C25" s="12" t="s">
        <v>44</v>
      </c>
      <c r="D25" s="10"/>
      <c r="E25" s="12"/>
    </row>
    <row r="26" customFormat="false" ht="15" hidden="false" customHeight="false" outlineLevel="0" collapsed="false">
      <c r="A26" s="10" t="s">
        <v>45</v>
      </c>
      <c r="B26" s="11" t="n">
        <f aca="false">$B$4+17</f>
        <v>46209</v>
      </c>
      <c r="C26" s="12" t="s">
        <v>46</v>
      </c>
      <c r="D26" s="10"/>
      <c r="E26" s="12"/>
    </row>
    <row r="27" customFormat="false" ht="15" hidden="false" customHeight="false" outlineLevel="0" collapsed="false">
      <c r="A27" s="10" t="s">
        <v>47</v>
      </c>
      <c r="B27" s="11" t="n">
        <f aca="false">$B$4+18</f>
        <v>46210</v>
      </c>
      <c r="C27" s="12" t="s">
        <v>48</v>
      </c>
      <c r="D27" s="10"/>
      <c r="E27" s="12"/>
    </row>
    <row r="28" customFormat="false" ht="15" hidden="false" customHeight="false" outlineLevel="0" collapsed="false">
      <c r="A28" s="10" t="s">
        <v>49</v>
      </c>
      <c r="B28" s="11" t="n">
        <f aca="false">$B$4+19</f>
        <v>46211</v>
      </c>
      <c r="C28" s="12" t="s">
        <v>50</v>
      </c>
      <c r="D28" s="10"/>
      <c r="E28" s="12"/>
    </row>
  </sheetData>
  <mergeCells count="4">
    <mergeCell ref="A1:E1"/>
    <mergeCell ref="A2:E2"/>
    <mergeCell ref="A7:E7"/>
    <mergeCell ref="A22:E22"/>
  </mergeCells>
  <dataValidations count="1">
    <dataValidation allowBlank="true" errorStyle="stop" operator="between" showDropDown="false" showErrorMessage="false" showInputMessage="false" sqref="D8:D2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2026-06-07T12:56:30Z</dcterms:created>
  <dc:creator>openpyxl</dc:creator>
  <dc:description/>
  <dc:language>en-US</dc:language>
  <cp:lastModifiedBy/>
  <dcterms:modified xsi:type="dcterms:W3CDTF">2026-06-07T12:56:30Z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