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進度追蹤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<sst xmlns="http://schemas.openxmlformats.org/spreadsheetml/2006/main" count="43" uniqueCount="43">
  <si>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r>
      <rPr>
        <b val="true"/>
        <sz val="16"/>
        <color rgb="FF2F5496"/>
        <rFont val="Arial"/>
        <family val="0"/>
        <charset val="1"/>
      </rPr>
      <t xml:space="preserve">JS 2 </t>
    </r>
    <r>
      <rPr>
        <b val="true"/>
        <sz val="16"/>
        <color rgb="FF2F5496"/>
        <rFont val="DejaVu Sans"/>
        <family val="2"/>
      </rPr>
      <t xml:space="preserve">週密集複習 — 進度追蹤表</t>
    </r>
  </si>
  <si>
    <r>
      <rPr>
        <i val="true"/>
        <sz val="10"/>
        <color rgb="FF595959"/>
        <rFont val="DejaVu Sans"/>
        <family val="2"/>
      </rPr>
      <t xml:space="preserve">資料來源 </t>
    </r>
    <r>
      <rPr>
        <i val="true"/>
        <sz val="10"/>
        <color rgb="FF595959"/>
        <rFont val="Arial"/>
        <family val="0"/>
        <charset val="1"/>
      </rPr>
      <t xml:space="preserve">W3Schools JavaScript Tutorial </t>
    </r>
    <r>
      <rPr>
        <i val="true"/>
        <sz val="10"/>
        <color rgb="FF595959"/>
        <rFont val="DejaVu Sans"/>
        <family val="2"/>
      </rPr>
      <t xml:space="preserve">｜ 在「讀書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練習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考題」欄打 ✓ 即自動算完成度</t>
    </r>
  </si>
  <si>
    <t xml:space="preserve">開始日期：</t>
  </si>
  <si>
    <t xml:space="preserve">整體完成度：</t>
  </si>
  <si>
    <t xml:space="preserve">天數</t>
  </si>
  <si>
    <t xml:space="preserve">日期</t>
  </si>
  <si>
    <t xml:space="preserve">主題</t>
  </si>
  <si>
    <t xml:space="preserve">讀書</t>
  </si>
  <si>
    <t xml:space="preserve">練習</t>
  </si>
  <si>
    <t xml:space="preserve">考題</t>
  </si>
  <si>
    <t xml:space="preserve">當天完成度</t>
  </si>
  <si>
    <r>
      <rPr>
        <b val="true"/>
        <sz val="11"/>
        <color rgb="FF2F5496"/>
        <rFont val="DejaVu Sans"/>
        <family val="2"/>
      </rPr>
      <t xml:space="preserve">第 </t>
    </r>
    <r>
      <rPr>
        <b val="true"/>
        <sz val="11"/>
        <color rgb="FF2F5496"/>
        <rFont val="Arial"/>
        <family val="0"/>
        <charset val="1"/>
      </rPr>
      <t xml:space="preserve">1 </t>
    </r>
    <r>
      <rPr>
        <b val="true"/>
        <sz val="11"/>
        <color rgb="FF2F5496"/>
        <rFont val="DejaVu Sans"/>
        <family val="2"/>
      </rPr>
      <t xml:space="preserve">週：語法核心 </t>
    </r>
    <r>
      <rPr>
        <b val="true"/>
        <sz val="11"/>
        <color rgb="FF2F5496"/>
        <rFont val="Arial"/>
        <family val="0"/>
        <charset val="1"/>
      </rPr>
      <t xml:space="preserve">+ </t>
    </r>
    <r>
      <rPr>
        <b val="true"/>
        <sz val="11"/>
        <color rgb="FF2F5496"/>
        <rFont val="DejaVu Sans"/>
        <family val="2"/>
      </rPr>
      <t xml:space="preserve">流程控制</t>
    </r>
  </si>
  <si>
    <t xml:space="preserve">Day 1</t>
  </si>
  <si>
    <r>
      <rPr>
        <sz val="10"/>
        <rFont val="DejaVu Sans"/>
        <family val="2"/>
      </rPr>
      <t xml:space="preserve">基礎與變數 </t>
    </r>
    <r>
      <rPr>
        <sz val="10"/>
        <rFont val="Arial"/>
        <family val="0"/>
        <charset val="1"/>
      </rPr>
      <t xml:space="preserve">(Intro/Where To/Output/Syntax/Variables/let/const/Types)</t>
    </r>
  </si>
  <si>
    <t xml:space="preserve">Day 2</t>
  </si>
  <si>
    <r>
      <rPr>
        <sz val="10"/>
        <rFont val="DejaVu Sans"/>
        <family val="2"/>
      </rPr>
      <t xml:space="preserve">運算子 </t>
    </r>
    <r>
      <rPr>
        <sz val="10"/>
        <rFont val="Arial"/>
        <family val="0"/>
        <charset val="1"/>
      </rPr>
      <t xml:space="preserve">(Operators/Arithmetic/Assignment/Comparisons/Type Conversion) ★Checkpoint1</t>
    </r>
  </si>
  <si>
    <t xml:space="preserve">Day 3</t>
  </si>
  <si>
    <r>
      <rPr>
        <sz val="10"/>
        <rFont val="DejaVu Sans"/>
        <family val="2"/>
      </rPr>
      <t xml:space="preserve">條件判斷 </t>
    </r>
    <r>
      <rPr>
        <sz val="10"/>
        <rFont val="Arial"/>
        <family val="0"/>
        <charset val="1"/>
      </rPr>
      <t xml:space="preserve">(If/Else/Ternary/Switch/Booleans/Logical)</t>
    </r>
  </si>
  <si>
    <t xml:space="preserve">Day 4</t>
  </si>
  <si>
    <r>
      <rPr>
        <sz val="10"/>
        <rFont val="DejaVu Sans"/>
        <family val="2"/>
      </rPr>
      <t xml:space="preserve">迴圈 </t>
    </r>
    <r>
      <rPr>
        <sz val="10"/>
        <rFont val="Arial"/>
        <family val="0"/>
        <charset val="1"/>
      </rPr>
      <t xml:space="preserve">(for/while/break/continue/Control Flow) ★Checkpoint2</t>
    </r>
  </si>
  <si>
    <t xml:space="preserve">Day 5</t>
  </si>
  <si>
    <r>
      <rPr>
        <sz val="10"/>
        <rFont val="DejaVu Sans"/>
        <family val="2"/>
      </rPr>
      <t xml:space="preserve">字串 </t>
    </r>
    <r>
      <rPr>
        <sz val="10"/>
        <rFont val="Arial"/>
        <family val="0"/>
        <charset val="1"/>
      </rPr>
      <t xml:space="preserve">(Strings/Templates/Methods/Search)</t>
    </r>
  </si>
  <si>
    <t xml:space="preserve">Day 6</t>
  </si>
  <si>
    <r>
      <rPr>
        <sz val="10"/>
        <rFont val="DejaVu Sans"/>
        <family val="2"/>
      </rPr>
      <t xml:space="preserve">數字與 </t>
    </r>
    <r>
      <rPr>
        <sz val="10"/>
        <rFont val="Arial"/>
        <family val="0"/>
        <charset val="1"/>
      </rPr>
      <t xml:space="preserve">Math (Numbers/Methods/Bitwise/BigInt/Math/Random) ★Checkpoint3</t>
    </r>
  </si>
  <si>
    <t xml:space="preserve">Day 7</t>
  </si>
  <si>
    <r>
      <rPr>
        <sz val="10"/>
        <rFont val="DejaVu Sans"/>
        <family val="2"/>
      </rPr>
      <t xml:space="preserve">函式 </t>
    </r>
    <r>
      <rPr>
        <sz val="10"/>
        <rFont val="Arial"/>
        <family val="0"/>
        <charset val="1"/>
      </rPr>
      <t xml:space="preserve">(Intro/Params/Returns/Arguments/Expressions/Arrow) ★</t>
    </r>
    <r>
      <rPr>
        <sz val="10"/>
        <rFont val="DejaVu Sans"/>
        <family val="2"/>
      </rPr>
      <t xml:space="preserve">重點</t>
    </r>
  </si>
  <si>
    <r>
      <rPr>
        <b val="true"/>
        <sz val="11"/>
        <color rgb="FF2F5496"/>
        <rFont val="DejaVu Sans"/>
        <family val="2"/>
      </rPr>
      <t xml:space="preserve">第 </t>
    </r>
    <r>
      <rPr>
        <b val="true"/>
        <sz val="11"/>
        <color rgb="FF2F5496"/>
        <rFont val="Arial"/>
        <family val="0"/>
        <charset val="1"/>
      </rPr>
      <t xml:space="preserve">2 </t>
    </r>
    <r>
      <rPr>
        <b val="true"/>
        <sz val="11"/>
        <color rgb="FF2F5496"/>
        <rFont val="DejaVu Sans"/>
        <family val="2"/>
      </rPr>
      <t xml:space="preserve">週：資料結構 </t>
    </r>
    <r>
      <rPr>
        <b val="true"/>
        <sz val="11"/>
        <color rgb="FF2F5496"/>
        <rFont val="Arial"/>
        <family val="0"/>
        <charset val="1"/>
      </rPr>
      <t xml:space="preserve">+ </t>
    </r>
    <r>
      <rPr>
        <b val="true"/>
        <sz val="11"/>
        <color rgb="FF2F5496"/>
        <rFont val="DejaVu Sans"/>
        <family val="2"/>
      </rPr>
      <t xml:space="preserve">物件導向 </t>
    </r>
    <r>
      <rPr>
        <b val="true"/>
        <sz val="11"/>
        <color rgb="FF2F5496"/>
        <rFont val="Arial"/>
        <family val="0"/>
        <charset val="1"/>
      </rPr>
      <t xml:space="preserve">+ </t>
    </r>
    <r>
      <rPr>
        <b val="true"/>
        <sz val="11"/>
        <color rgb="FF2F5496"/>
        <rFont val="DejaVu Sans"/>
        <family val="2"/>
      </rPr>
      <t xml:space="preserve">進階</t>
    </r>
  </si>
  <si>
    <t xml:space="preserve">Day 8</t>
  </si>
  <si>
    <r>
      <rPr>
        <sz val="10"/>
        <rFont val="DejaVu Sans"/>
        <family val="2"/>
      </rPr>
      <t xml:space="preserve">陣列基礎 </t>
    </r>
    <r>
      <rPr>
        <sz val="10"/>
        <rFont val="Arial"/>
        <family val="0"/>
        <charset val="1"/>
      </rPr>
      <t xml:space="preserve">(Arrays/Array Methods/Array Const)</t>
    </r>
  </si>
  <si>
    <t xml:space="preserve">Day 9</t>
  </si>
  <si>
    <r>
      <rPr>
        <sz val="10"/>
        <rFont val="DejaVu Sans"/>
        <family val="2"/>
      </rPr>
      <t xml:space="preserve">陣列高階 </t>
    </r>
    <r>
      <rPr>
        <sz val="10"/>
        <rFont val="Arial"/>
        <family val="0"/>
        <charset val="1"/>
      </rPr>
      <t xml:space="preserve">(Search/Sort/Iterations: map/filter/reduce) ★Checkpoint4 ★</t>
    </r>
    <r>
      <rPr>
        <sz val="10"/>
        <rFont val="DejaVu Sans"/>
        <family val="2"/>
      </rPr>
      <t xml:space="preserve">重點</t>
    </r>
  </si>
  <si>
    <t xml:space="preserve">Day 10</t>
  </si>
  <si>
    <r>
      <rPr>
        <sz val="10"/>
        <rFont val="DejaVu Sans"/>
        <family val="2"/>
      </rPr>
      <t xml:space="preserve">物件 </t>
    </r>
    <r>
      <rPr>
        <sz val="10"/>
        <rFont val="Arial"/>
        <family val="0"/>
        <charset val="1"/>
      </rPr>
      <t xml:space="preserve">(Intro/Properties/Methods/this/Constructors)</t>
    </r>
  </si>
  <si>
    <t xml:space="preserve">Day 11</t>
  </si>
  <si>
    <r>
      <rPr>
        <sz val="10"/>
        <rFont val="DejaVu Sans"/>
        <family val="2"/>
      </rPr>
      <t xml:space="preserve">作用域與 </t>
    </r>
    <r>
      <rPr>
        <sz val="10"/>
        <rFont val="Arial"/>
        <family val="0"/>
        <charset val="1"/>
      </rPr>
      <t xml:space="preserve">Hoisting (Scope/Code Blocks/Hoisting/Strict) ★Checkpoint5</t>
    </r>
  </si>
  <si>
    <t xml:space="preserve">Day 12</t>
  </si>
  <si>
    <r>
      <rPr>
        <sz val="10"/>
        <rFont val="Arial"/>
        <family val="0"/>
        <charset val="1"/>
      </rPr>
      <t xml:space="preserve">Set/Map/</t>
    </r>
    <r>
      <rPr>
        <sz val="10"/>
        <rFont val="DejaVu Sans"/>
        <family val="2"/>
      </rPr>
      <t xml:space="preserve">迭代器 </t>
    </r>
    <r>
      <rPr>
        <sz val="10"/>
        <rFont val="Arial"/>
        <family val="0"/>
        <charset val="1"/>
      </rPr>
      <t xml:space="preserve">(Sets/Maps/Iterables/Iterators/Generators)</t>
    </r>
  </si>
  <si>
    <t xml:space="preserve">Day 13</t>
  </si>
  <si>
    <r>
      <rPr>
        <sz val="10"/>
        <rFont val="DejaVu Sans"/>
        <family val="2"/>
      </rPr>
      <t xml:space="preserve">型別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日期</t>
    </r>
    <r>
      <rPr>
        <sz val="10"/>
        <rFont val="Arial"/>
        <family val="0"/>
        <charset val="1"/>
      </rPr>
      <t xml:space="preserve">/RegExp (Data Types/typeof/Destructuring/Dates/RegExp) ★Checkpoint6</t>
    </r>
  </si>
  <si>
    <t xml:space="preserve">Day 14</t>
  </si>
  <si>
    <r>
      <rPr>
        <sz val="10"/>
        <rFont val="Arial"/>
        <family val="0"/>
        <charset val="1"/>
      </rPr>
      <t xml:space="preserve">OOP/JSON/</t>
    </r>
    <r>
      <rPr>
        <sz val="10"/>
        <rFont val="DejaVu Sans"/>
        <family val="2"/>
      </rPr>
      <t xml:space="preserve">錯誤</t>
    </r>
    <r>
      <rPr>
        <sz val="10"/>
        <rFont val="Arial"/>
        <family val="0"/>
        <charset val="1"/>
      </rPr>
      <t xml:space="preserve">/Debug (Classes/JSON/try-catch/Debugging) ★</t>
    </r>
    <r>
      <rPr>
        <sz val="10"/>
        <rFont val="DejaVu Sans"/>
        <family val="2"/>
      </rPr>
      <t xml:space="preserve">期末總複習考</t>
    </r>
  </si>
  <si>
    <t xml:space="preserve">說明：</t>
  </si>
  <si>
    <r>
      <rPr>
        <i val="true"/>
        <sz val="10"/>
        <color rgb="FF595959"/>
        <rFont val="DejaVu Sans"/>
        <family val="2"/>
      </rPr>
      <t xml:space="preserve">改「開始日期」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DejaVu Sans"/>
        <family val="2"/>
      </rPr>
      <t xml:space="preserve">黃底</t>
    </r>
    <r>
      <rPr>
        <i val="true"/>
        <sz val="10"/>
        <color rgb="FF595959"/>
        <rFont val="Arial"/>
        <family val="0"/>
        <charset val="1"/>
      </rPr>
      <t xml:space="preserve">)</t>
    </r>
    <r>
      <rPr>
        <i val="true"/>
        <sz val="10"/>
        <color rgb="FF595959"/>
        <rFont val="DejaVu Sans"/>
        <family val="2"/>
      </rPr>
      <t xml:space="preserve">，日期會自動順延。完成一項就在讀書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練習</t>
    </r>
    <r>
      <rPr>
        <i val="true"/>
        <sz val="10"/>
        <color rgb="FF595959"/>
        <rFont val="Arial"/>
        <family val="0"/>
        <charset val="1"/>
      </rPr>
      <t xml:space="preserve">/</t>
    </r>
    <r>
      <rPr>
        <i val="true"/>
        <sz val="10"/>
        <color rgb="FF595959"/>
        <rFont val="DejaVu Sans"/>
        <family val="2"/>
      </rPr>
      <t xml:space="preserve">考題欄選 ✓。★ </t>
    </r>
    <r>
      <rPr>
        <i val="true"/>
        <sz val="10"/>
        <color rgb="FF595959"/>
        <rFont val="Arial"/>
        <family val="0"/>
        <charset val="1"/>
      </rPr>
      <t xml:space="preserve">= Checkpoint </t>
    </r>
    <r>
      <rPr>
        <i val="true"/>
        <sz val="10"/>
        <color rgb="FF595959"/>
        <rFont val="DejaVu Sans"/>
        <family val="2"/>
      </rPr>
      <t xml:space="preserve">或重點日，對應「考題</t>
    </r>
    <r>
      <rPr>
        <i val="true"/>
        <sz val="10"/>
        <color rgb="FF595959"/>
        <rFont val="Arial"/>
        <family val="0"/>
        <charset val="1"/>
      </rPr>
      <t xml:space="preserve">.md</t>
    </r>
    <r>
      <rPr>
        <i val="true"/>
        <sz val="10"/>
        <color rgb="FF595959"/>
        <rFont val="DejaVu Sans"/>
        <family val="2"/>
      </rPr>
      <t xml:space="preserve">」。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</si>
</sst>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/d"/>
    <numFmt numFmtId="166" formatCode="0.0%"/>
    <numFmt numFmtId="167" formatCode="m/d&quot; (&quot;AAA\)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b val="true"/>
      <sz val="16"/>
      <color rgb="FF2F5496"/>
      <name val="DejaVu Sans"/>
      <family val="2"/>
    </font>
    <font>
      <i val="true"/>
      <sz val="10"/>
      <color rgb="FF595959"/>
      <name val="DejaVu Sans"/>
      <family val="2"/>
    </font>
    <font>
      <i val="true"/>
      <sz val="10"/>
      <color rgb="FF595959"/>
      <name val="Arial"/>
      <family val="0"/>
      <charset val="1"/>
    </font>
    <font>
      <b val="true"/>
      <sz val="11"/>
      <name val="DejaVu Sans"/>
      <family val="2"/>
    </font>
    <font>
      <b val="true"/>
      <sz val="11"/>
      <color rgb="FF0000FF"/>
      <name val="Arial"/>
      <family val="0"/>
      <charset val="1"/>
    </font>
    <font>
      <b val="true"/>
      <sz val="12"/>
      <color rgb="FF2F5496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2F5496"/>
      <name val="DejaVu Sans"/>
      <family val="2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2F5496"/>
        <bgColor rgb="FF595959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62"/>
    <col collapsed="false" customWidth="true" hidden="false" outlineLevel="0" max="6" min="4" style="0" width="8"/>
    <col collapsed="false" customWidth="true" hidden="false" outlineLevel="0" max="7" min="7" style="0" width="1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n">
        <v>46178</v>
      </c>
      <c r="C4" s="5" t="s">
        <v>3</v>
      </c>
      <c r="D4" s="6" t="n">
        <f aca="false">COUNTIF(D8:F22,"✓")/42</f>
        <v>0</v>
      </c>
    </row>
    <row r="6" customFormat="false" ht="15" hidden="false" customHeight="false" outlineLevel="0" collapsed="false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</row>
    <row r="7" customFormat="false" ht="14.9" hidden="false" customHeight="false" outlineLevel="0" collapsed="false">
      <c r="A7" s="8" t="s">
        <v>11</v>
      </c>
      <c r="B7" s="8"/>
      <c r="C7" s="8"/>
      <c r="D7" s="8"/>
      <c r="E7" s="8"/>
      <c r="F7" s="8"/>
      <c r="G7" s="8"/>
    </row>
    <row r="8" customFormat="false" ht="15" hidden="false" customHeight="false" outlineLevel="0" collapsed="false">
      <c r="A8" s="9" t="s">
        <v>12</v>
      </c>
      <c r="B8" s="10" t="n">
        <f aca="false">$B$4+0</f>
        <v>46178</v>
      </c>
      <c r="C8" s="11" t="s">
        <v>13</v>
      </c>
      <c r="D8" s="9"/>
      <c r="E8" s="9"/>
      <c r="F8" s="9"/>
      <c r="G8" s="12" t="n">
        <f aca="false">COUNTIF(D8:F8,"✓")/3</f>
        <v>0</v>
      </c>
    </row>
    <row r="9" customFormat="false" ht="23.85" hidden="false" customHeight="false" outlineLevel="0" collapsed="false">
      <c r="A9" s="9" t="s">
        <v>14</v>
      </c>
      <c r="B9" s="10" t="n">
        <f aca="false">$B$4+1</f>
        <v>46179</v>
      </c>
      <c r="C9" s="11" t="s">
        <v>15</v>
      </c>
      <c r="D9" s="9"/>
      <c r="E9" s="9"/>
      <c r="F9" s="9"/>
      <c r="G9" s="12" t="n">
        <f aca="false">COUNTIF(D9:F9,"✓")/3</f>
        <v>0</v>
      </c>
    </row>
    <row r="10" customFormat="false" ht="15" hidden="false" customHeight="false" outlineLevel="0" collapsed="false">
      <c r="A10" s="9" t="s">
        <v>16</v>
      </c>
      <c r="B10" s="10" t="n">
        <f aca="false">$B$4+2</f>
        <v>46180</v>
      </c>
      <c r="C10" s="11" t="s">
        <v>17</v>
      </c>
      <c r="D10" s="9"/>
      <c r="E10" s="9"/>
      <c r="F10" s="9"/>
      <c r="G10" s="12" t="n">
        <f aca="false">COUNTIF(D10:F10,"✓")/3</f>
        <v>0</v>
      </c>
    </row>
    <row r="11" customFormat="false" ht="15" hidden="false" customHeight="false" outlineLevel="0" collapsed="false">
      <c r="A11" s="9" t="s">
        <v>18</v>
      </c>
      <c r="B11" s="10" t="n">
        <f aca="false">$B$4+3</f>
        <v>46181</v>
      </c>
      <c r="C11" s="11" t="s">
        <v>19</v>
      </c>
      <c r="D11" s="9"/>
      <c r="E11" s="9"/>
      <c r="F11" s="9"/>
      <c r="G11" s="12" t="n">
        <f aca="false">COUNTIF(D11:F11,"✓")/3</f>
        <v>0</v>
      </c>
    </row>
    <row r="12" customFormat="false" ht="15" hidden="false" customHeight="false" outlineLevel="0" collapsed="false">
      <c r="A12" s="9" t="s">
        <v>20</v>
      </c>
      <c r="B12" s="10" t="n">
        <f aca="false">$B$4+4</f>
        <v>46182</v>
      </c>
      <c r="C12" s="11" t="s">
        <v>21</v>
      </c>
      <c r="D12" s="9"/>
      <c r="E12" s="9"/>
      <c r="F12" s="9"/>
      <c r="G12" s="12" t="n">
        <f aca="false">COUNTIF(D12:F12,"✓")/3</f>
        <v>0</v>
      </c>
    </row>
    <row r="13" customFormat="false" ht="23.85" hidden="false" customHeight="false" outlineLevel="0" collapsed="false">
      <c r="A13" s="9" t="s">
        <v>22</v>
      </c>
      <c r="B13" s="10" t="n">
        <f aca="false">$B$4+5</f>
        <v>46183</v>
      </c>
      <c r="C13" s="11" t="s">
        <v>23</v>
      </c>
      <c r="D13" s="9"/>
      <c r="E13" s="9"/>
      <c r="F13" s="9"/>
      <c r="G13" s="12" t="n">
        <f aca="false">COUNTIF(D13:F13,"✓")/3</f>
        <v>0</v>
      </c>
    </row>
    <row r="14" customFormat="false" ht="15" hidden="false" customHeight="false" outlineLevel="0" collapsed="false">
      <c r="A14" s="9" t="s">
        <v>24</v>
      </c>
      <c r="B14" s="10" t="n">
        <f aca="false">$B$4+6</f>
        <v>46184</v>
      </c>
      <c r="C14" s="11" t="s">
        <v>25</v>
      </c>
      <c r="D14" s="9"/>
      <c r="E14" s="9"/>
      <c r="F14" s="9"/>
      <c r="G14" s="12" t="n">
        <f aca="false">COUNTIF(D14:F14,"✓")/3</f>
        <v>0</v>
      </c>
    </row>
    <row r="15" customFormat="false" ht="14.9" hidden="false" customHeight="false" outlineLevel="0" collapsed="false">
      <c r="A15" s="8" t="s">
        <v>26</v>
      </c>
      <c r="B15" s="8"/>
      <c r="C15" s="8"/>
      <c r="D15" s="8"/>
      <c r="E15" s="8"/>
      <c r="F15" s="8"/>
      <c r="G15" s="8"/>
    </row>
    <row r="16" customFormat="false" ht="15" hidden="false" customHeight="false" outlineLevel="0" collapsed="false">
      <c r="A16" s="9" t="s">
        <v>27</v>
      </c>
      <c r="B16" s="10" t="n">
        <f aca="false">$B$4+7</f>
        <v>46185</v>
      </c>
      <c r="C16" s="11" t="s">
        <v>28</v>
      </c>
      <c r="D16" s="9"/>
      <c r="E16" s="9"/>
      <c r="F16" s="9"/>
      <c r="G16" s="12" t="n">
        <f aca="false">COUNTIF(D16:F16,"✓")/3</f>
        <v>0</v>
      </c>
    </row>
    <row r="17" customFormat="false" ht="15" hidden="false" customHeight="false" outlineLevel="0" collapsed="false">
      <c r="A17" s="9" t="s">
        <v>29</v>
      </c>
      <c r="B17" s="10" t="n">
        <f aca="false">$B$4+8</f>
        <v>46186</v>
      </c>
      <c r="C17" s="11" t="s">
        <v>30</v>
      </c>
      <c r="D17" s="9"/>
      <c r="E17" s="9"/>
      <c r="F17" s="9"/>
      <c r="G17" s="12" t="n">
        <f aca="false">COUNTIF(D17:F17,"✓")/3</f>
        <v>0</v>
      </c>
    </row>
    <row r="18" customFormat="false" ht="15" hidden="false" customHeight="false" outlineLevel="0" collapsed="false">
      <c r="A18" s="9" t="s">
        <v>31</v>
      </c>
      <c r="B18" s="10" t="n">
        <f aca="false">$B$4+9</f>
        <v>46187</v>
      </c>
      <c r="C18" s="11" t="s">
        <v>32</v>
      </c>
      <c r="D18" s="9"/>
      <c r="E18" s="9"/>
      <c r="F18" s="9"/>
      <c r="G18" s="12" t="n">
        <f aca="false">COUNTIF(D18:F18,"✓")/3</f>
        <v>0</v>
      </c>
    </row>
    <row r="19" customFormat="false" ht="15" hidden="false" customHeight="false" outlineLevel="0" collapsed="false">
      <c r="A19" s="9" t="s">
        <v>33</v>
      </c>
      <c r="B19" s="10" t="n">
        <f aca="false">$B$4+10</f>
        <v>46188</v>
      </c>
      <c r="C19" s="11" t="s">
        <v>34</v>
      </c>
      <c r="D19" s="9"/>
      <c r="E19" s="9"/>
      <c r="F19" s="9"/>
      <c r="G19" s="12" t="n">
        <f aca="false">COUNTIF(D19:F19,"✓")/3</f>
        <v>0</v>
      </c>
    </row>
    <row r="20" customFormat="false" ht="15" hidden="false" customHeight="false" outlineLevel="0" collapsed="false">
      <c r="A20" s="9" t="s">
        <v>35</v>
      </c>
      <c r="B20" s="10" t="n">
        <f aca="false">$B$4+11</f>
        <v>46189</v>
      </c>
      <c r="C20" s="13" t="s">
        <v>36</v>
      </c>
      <c r="D20" s="9"/>
      <c r="E20" s="9"/>
      <c r="F20" s="9"/>
      <c r="G20" s="12" t="n">
        <f aca="false">COUNTIF(D20:F20,"✓")/3</f>
        <v>0</v>
      </c>
    </row>
    <row r="21" customFormat="false" ht="23.85" hidden="false" customHeight="false" outlineLevel="0" collapsed="false">
      <c r="A21" s="9" t="s">
        <v>37</v>
      </c>
      <c r="B21" s="10" t="n">
        <f aca="false">$B$4+12</f>
        <v>46190</v>
      </c>
      <c r="C21" s="11" t="s">
        <v>38</v>
      </c>
      <c r="D21" s="9"/>
      <c r="E21" s="9"/>
      <c r="F21" s="9"/>
      <c r="G21" s="12" t="n">
        <f aca="false">COUNTIF(D21:F21,"✓")/3</f>
        <v>0</v>
      </c>
    </row>
    <row r="22" customFormat="false" ht="23.85" hidden="false" customHeight="false" outlineLevel="0" collapsed="false">
      <c r="A22" s="9" t="s">
        <v>39</v>
      </c>
      <c r="B22" s="10" t="n">
        <f aca="false">$B$4+13</f>
        <v>46191</v>
      </c>
      <c r="C22" s="13" t="s">
        <v>40</v>
      </c>
      <c r="D22" s="9"/>
      <c r="E22" s="9"/>
      <c r="F22" s="9"/>
      <c r="G22" s="12" t="n">
        <f aca="false">COUNTIF(D22:F22,"✓")/3</f>
        <v>0</v>
      </c>
    </row>
    <row r="24" customFormat="false" ht="15" hidden="false" customHeight="false" outlineLevel="0" collapsed="false">
      <c r="A24" s="3" t="s">
        <v>41</v>
      </c>
      <c r="B24" s="2" t="s">
        <v>42</v>
      </c>
      <c r="C24" s="2"/>
      <c r="D24" s="2"/>
      <c r="E24" s="2"/>
      <c r="F24" s="2"/>
      <c r="G24" s="2"/>
    </row>
  </sheetData>
  <mergeCells count="5">
    <mergeCell ref="A1:G1"/>
    <mergeCell ref="A2:G2"/>
    <mergeCell ref="A7:G7"/>
    <mergeCell ref="A15:G15"/>
    <mergeCell ref="B24:G24"/>
  </mergeCells>
  <dataValidations count="1">
    <dataValidation allowBlank="true" errorStyle="stop" operator="between" showDropDown="false" showErrorMessage="false" showInputMessage="false" sqref="D7:F22" type="list">
      <formula1>"✓"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2026-06-04T11:56:55Z</dcterms:created>
  <dc:creator>openpyxl</dc:creator>
  <dc:description/>
  <dc:language>en-US</dc:language>
  <cp:lastModifiedBy/>
  <dcterms:modified xsi:type="dcterms:W3CDTF">2026-06-04T11:56:55Z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