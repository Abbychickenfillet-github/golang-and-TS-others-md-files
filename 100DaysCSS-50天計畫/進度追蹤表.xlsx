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進度追蹤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<sst xmlns="http://schemas.openxmlformats.org/spreadsheetml/2006/main" count="117" uniqueCount="117">
  <si>
    <r>
      <rPr>
        <b val="true"/>
        <sz val="16"/>
        <color rgb="FF7C3AED"/>
        <rFont val="Arial"/>
        <family val="0"/>
        <charset val="1"/>
      </rPr>
      <t xml:space="preserve">100 Days CSS — 50 </t>
    </r>
    <r>
      <rPr>
        <b val="true"/>
        <sz val="16"/>
        <color rgb="FF7C3AED"/>
        <rFont val="DejaVu Sans"/>
        <family val="2"/>
      </rPr>
      <t xml:space="preserve">天進度追蹤</t>
    </r>
  </si>
  <si>
    <r>
      <rPr>
        <i val="true"/>
        <sz val="10"/>
        <color rgb="FF595959"/>
        <rFont val="DejaVu Sans"/>
        <family val="2"/>
      </rPr>
      <t xml:space="preserve">來源 </t>
    </r>
    <r>
      <rPr>
        <i val="true"/>
        <sz val="10"/>
        <color rgb="FF595959"/>
        <rFont val="Arial"/>
        <family val="0"/>
        <charset val="1"/>
      </rPr>
      <t xml:space="preserve">100dayscss.com </t>
    </r>
    <r>
      <rPr>
        <i val="true"/>
        <sz val="10"/>
        <color rgb="FF595959"/>
        <rFont val="DejaVu Sans"/>
        <family val="2"/>
      </rPr>
      <t xml:space="preserve">｜ 一天 </t>
    </r>
    <r>
      <rPr>
        <i val="true"/>
        <sz val="10"/>
        <color rgb="FF595959"/>
        <rFont val="Arial"/>
        <family val="0"/>
        <charset val="1"/>
      </rPr>
      <t xml:space="preserve">2 </t>
    </r>
    <r>
      <rPr>
        <i val="true"/>
        <sz val="10"/>
        <color rgb="FF595959"/>
        <rFont val="DejaVu Sans"/>
        <family val="2"/>
      </rPr>
      <t xml:space="preserve">題 ｜ 完成就在「完成」欄選 ✓</t>
    </r>
  </si>
  <si>
    <t xml:space="preserve">開始日期：</t>
  </si>
  <si>
    <t xml:space="preserve">整體完成度：</t>
  </si>
  <si>
    <t xml:space="preserve">天數</t>
  </si>
  <si>
    <t xml:space="preserve">日期</t>
  </si>
  <si>
    <t xml:space="preserve">階段</t>
  </si>
  <si>
    <t xml:space="preserve">挑戰題號</t>
  </si>
  <si>
    <t xml:space="preserve">完成</t>
  </si>
  <si>
    <r>
      <rPr>
        <b val="true"/>
        <sz val="11"/>
        <color rgb="FFFFFFFF"/>
        <rFont val="DejaVu Sans"/>
        <family val="2"/>
      </rPr>
      <t xml:space="preserve">心得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卡關</t>
    </r>
  </si>
  <si>
    <r>
      <rPr>
        <b val="true"/>
        <sz val="11"/>
        <color rgb="FF7C3AED"/>
        <rFont val="DejaVu Sans"/>
        <family val="2"/>
      </rPr>
      <t xml:space="preserve">階段一：基礎圖形與盒模型 </t>
    </r>
    <r>
      <rPr>
        <b val="true"/>
        <sz val="11"/>
        <color rgb="FF7C3AED"/>
        <rFont val="Arial"/>
        <family val="0"/>
        <charset val="1"/>
      </rPr>
      <t xml:space="preserve">(box-model / border-radius / position)</t>
    </r>
  </si>
  <si>
    <t xml:space="preserve">Day 1</t>
  </si>
  <si>
    <t xml:space="preserve">#1, #2</t>
  </si>
  <si>
    <t xml:space="preserve">Day 2</t>
  </si>
  <si>
    <t xml:space="preserve">#3, #4</t>
  </si>
  <si>
    <t xml:space="preserve">Day 3</t>
  </si>
  <si>
    <t xml:space="preserve">#5, #6</t>
  </si>
  <si>
    <t xml:space="preserve">Day 4</t>
  </si>
  <si>
    <t xml:space="preserve">#7, #8</t>
  </si>
  <si>
    <t xml:space="preserve">Day 5</t>
  </si>
  <si>
    <t xml:space="preserve">#9, #10</t>
  </si>
  <si>
    <t xml:space="preserve">Day 6</t>
  </si>
  <si>
    <t xml:space="preserve">#11, #12</t>
  </si>
  <si>
    <t xml:space="preserve">Day 7</t>
  </si>
  <si>
    <t xml:space="preserve">#13, #14</t>
  </si>
  <si>
    <t xml:space="preserve">Day 8</t>
  </si>
  <si>
    <t xml:space="preserve">#15, #16</t>
  </si>
  <si>
    <t xml:space="preserve">Day 9</t>
  </si>
  <si>
    <t xml:space="preserve">#17, #18</t>
  </si>
  <si>
    <t xml:space="preserve">Day 10</t>
  </si>
  <si>
    <t xml:space="preserve">#19, #20</t>
  </si>
  <si>
    <r>
      <rPr>
        <b val="true"/>
        <sz val="11"/>
        <color rgb="FF7C3AED"/>
        <rFont val="DejaVu Sans"/>
        <family val="2"/>
      </rPr>
      <t xml:space="preserve">階段二：</t>
    </r>
    <r>
      <rPr>
        <b val="true"/>
        <sz val="11"/>
        <color rgb="FF7C3AED"/>
        <rFont val="Arial"/>
        <family val="0"/>
        <charset val="1"/>
      </rPr>
      <t xml:space="preserve">Flexbox </t>
    </r>
    <r>
      <rPr>
        <b val="true"/>
        <sz val="11"/>
        <color rgb="FF7C3AED"/>
        <rFont val="DejaVu Sans"/>
        <family val="2"/>
      </rPr>
      <t xml:space="preserve">與元件排版 </t>
    </r>
    <r>
      <rPr>
        <b val="true"/>
        <sz val="11"/>
        <color rgb="FF7C3AED"/>
        <rFont val="Arial"/>
        <family val="0"/>
        <charset val="1"/>
      </rPr>
      <t xml:space="preserve">(flex / gap)</t>
    </r>
  </si>
  <si>
    <t xml:space="preserve">Day 11</t>
  </si>
  <si>
    <t xml:space="preserve">#21, #22</t>
  </si>
  <si>
    <t xml:space="preserve">Day 12</t>
  </si>
  <si>
    <t xml:space="preserve">#23, #24</t>
  </si>
  <si>
    <t xml:space="preserve">Day 13</t>
  </si>
  <si>
    <t xml:space="preserve">#25, #26</t>
  </si>
  <si>
    <t xml:space="preserve">Day 14</t>
  </si>
  <si>
    <t xml:space="preserve">#27, #28</t>
  </si>
  <si>
    <t xml:space="preserve">Day 15</t>
  </si>
  <si>
    <t xml:space="preserve">#29, #30</t>
  </si>
  <si>
    <t xml:space="preserve">Day 16</t>
  </si>
  <si>
    <t xml:space="preserve">#31, #32</t>
  </si>
  <si>
    <t xml:space="preserve">Day 17</t>
  </si>
  <si>
    <t xml:space="preserve">#33, #34</t>
  </si>
  <si>
    <t xml:space="preserve">Day 18</t>
  </si>
  <si>
    <t xml:space="preserve">#35, #36</t>
  </si>
  <si>
    <t xml:space="preserve">Day 19</t>
  </si>
  <si>
    <t xml:space="preserve">#37, #38</t>
  </si>
  <si>
    <t xml:space="preserve">Day 20</t>
  </si>
  <si>
    <t xml:space="preserve">#39, #40</t>
  </si>
  <si>
    <r>
      <rPr>
        <b val="true"/>
        <sz val="11"/>
        <color rgb="FF7C3AED"/>
        <rFont val="DejaVu Sans"/>
        <family val="2"/>
      </rPr>
      <t xml:space="preserve">階段三：</t>
    </r>
    <r>
      <rPr>
        <b val="true"/>
        <sz val="11"/>
        <color rgb="FF7C3AED"/>
        <rFont val="Arial"/>
        <family val="0"/>
        <charset val="1"/>
      </rPr>
      <t xml:space="preserve">transition </t>
    </r>
    <r>
      <rPr>
        <b val="true"/>
        <sz val="11"/>
        <color rgb="FF7C3AED"/>
        <rFont val="DejaVu Sans"/>
        <family val="2"/>
      </rPr>
      <t xml:space="preserve">與 </t>
    </r>
    <r>
      <rPr>
        <b val="true"/>
        <sz val="11"/>
        <color rgb="FF7C3AED"/>
        <rFont val="Arial"/>
        <family val="0"/>
        <charset val="1"/>
      </rPr>
      <t xml:space="preserve">hover </t>
    </r>
    <r>
      <rPr>
        <b val="true"/>
        <sz val="11"/>
        <color rgb="FF7C3AED"/>
        <rFont val="DejaVu Sans"/>
        <family val="2"/>
      </rPr>
      <t xml:space="preserve">互動</t>
    </r>
  </si>
  <si>
    <t xml:space="preserve">Day 21</t>
  </si>
  <si>
    <t xml:space="preserve">#41, #42</t>
  </si>
  <si>
    <t xml:space="preserve">Day 22</t>
  </si>
  <si>
    <t xml:space="preserve">#43, #44</t>
  </si>
  <si>
    <t xml:space="preserve">Day 23</t>
  </si>
  <si>
    <t xml:space="preserve">#45, #46</t>
  </si>
  <si>
    <t xml:space="preserve">Day 24</t>
  </si>
  <si>
    <t xml:space="preserve">#47, #48</t>
  </si>
  <si>
    <t xml:space="preserve">Day 25</t>
  </si>
  <si>
    <t xml:space="preserve">#49, #50</t>
  </si>
  <si>
    <t xml:space="preserve">Day 26</t>
  </si>
  <si>
    <t xml:space="preserve">#51, #52</t>
  </si>
  <si>
    <t xml:space="preserve">Day 27</t>
  </si>
  <si>
    <t xml:space="preserve">#53, #54</t>
  </si>
  <si>
    <t xml:space="preserve">Day 28</t>
  </si>
  <si>
    <t xml:space="preserve">#55, #56</t>
  </si>
  <si>
    <t xml:space="preserve">Day 29</t>
  </si>
  <si>
    <t xml:space="preserve">#57, #58</t>
  </si>
  <si>
    <t xml:space="preserve">Day 30</t>
  </si>
  <si>
    <t xml:space="preserve">#59, #60</t>
  </si>
  <si>
    <r>
      <rPr>
        <b val="true"/>
        <sz val="11"/>
        <color rgb="FF7C3AED"/>
        <rFont val="DejaVu Sans"/>
        <family val="2"/>
      </rPr>
      <t xml:space="preserve">階段四：</t>
    </r>
    <r>
      <rPr>
        <b val="true"/>
        <sz val="11"/>
        <color rgb="FF7C3AED"/>
        <rFont val="Arial"/>
        <family val="0"/>
        <charset val="1"/>
      </rPr>
      <t xml:space="preserve">keyframes </t>
    </r>
    <r>
      <rPr>
        <b val="true"/>
        <sz val="11"/>
        <color rgb="FF7C3AED"/>
        <rFont val="DejaVu Sans"/>
        <family val="2"/>
      </rPr>
      <t xml:space="preserve">動畫 </t>
    </r>
    <r>
      <rPr>
        <b val="true"/>
        <sz val="11"/>
        <color rgb="FF7C3AED"/>
        <rFont val="Arial"/>
        <family val="0"/>
        <charset val="1"/>
      </rPr>
      <t xml:space="preserve">(@keyframes / animation)</t>
    </r>
  </si>
  <si>
    <t xml:space="preserve">Day 31</t>
  </si>
  <si>
    <t xml:space="preserve">#61, #62</t>
  </si>
  <si>
    <t xml:space="preserve">Day 32</t>
  </si>
  <si>
    <t xml:space="preserve">#63, #64</t>
  </si>
  <si>
    <t xml:space="preserve">Day 33</t>
  </si>
  <si>
    <t xml:space="preserve">#65, #66</t>
  </si>
  <si>
    <t xml:space="preserve">Day 34</t>
  </si>
  <si>
    <t xml:space="preserve">#67, #68</t>
  </si>
  <si>
    <t xml:space="preserve">Day 35</t>
  </si>
  <si>
    <t xml:space="preserve">#69, #70</t>
  </si>
  <si>
    <t xml:space="preserve">Day 36</t>
  </si>
  <si>
    <t xml:space="preserve">#71, #72</t>
  </si>
  <si>
    <t xml:space="preserve">Day 37</t>
  </si>
  <si>
    <t xml:space="preserve">#73, #74</t>
  </si>
  <si>
    <t xml:space="preserve">Day 38</t>
  </si>
  <si>
    <t xml:space="preserve">#75, #76</t>
  </si>
  <si>
    <t xml:space="preserve">Day 39</t>
  </si>
  <si>
    <t xml:space="preserve">#77, #78</t>
  </si>
  <si>
    <t xml:space="preserve">Day 40</t>
  </si>
  <si>
    <t xml:space="preserve">#79, #80</t>
  </si>
  <si>
    <r>
      <rPr>
        <b val="true"/>
        <sz val="11"/>
        <color rgb="FF7C3AED"/>
        <rFont val="DejaVu Sans"/>
        <family val="2"/>
      </rPr>
      <t xml:space="preserve">階段五：進階組合 </t>
    </r>
    <r>
      <rPr>
        <b val="true"/>
        <sz val="11"/>
        <color rgb="FF7C3AED"/>
        <rFont val="Arial"/>
        <family val="0"/>
        <charset val="1"/>
      </rPr>
      <t xml:space="preserve">(clip-path / gradient / 3D / grid)</t>
    </r>
  </si>
  <si>
    <t xml:space="preserve">Day 41</t>
  </si>
  <si>
    <t xml:space="preserve">#81, #82</t>
  </si>
  <si>
    <t xml:space="preserve">Day 42</t>
  </si>
  <si>
    <t xml:space="preserve">#83, #84</t>
  </si>
  <si>
    <t xml:space="preserve">Day 43</t>
  </si>
  <si>
    <t xml:space="preserve">#85, #86</t>
  </si>
  <si>
    <t xml:space="preserve">Day 44</t>
  </si>
  <si>
    <t xml:space="preserve">#87, #88</t>
  </si>
  <si>
    <t xml:space="preserve">Day 45</t>
  </si>
  <si>
    <t xml:space="preserve">#89, #90</t>
  </si>
  <si>
    <t xml:space="preserve">Day 46</t>
  </si>
  <si>
    <t xml:space="preserve">#91, #92</t>
  </si>
  <si>
    <t xml:space="preserve">Day 47</t>
  </si>
  <si>
    <t xml:space="preserve">#93, #94</t>
  </si>
  <si>
    <t xml:space="preserve">Day 48</t>
  </si>
  <si>
    <t xml:space="preserve">#95, #96</t>
  </si>
  <si>
    <t xml:space="preserve">Day 49</t>
  </si>
  <si>
    <t xml:space="preserve">#97, #98</t>
  </si>
  <si>
    <t xml:space="preserve">Day 50</t>
  </si>
  <si>
    <t xml:space="preserve">#99, #100</t>
  </si>
  <si>
    <t xml:space="preserve">說明：</t>
  </si>
  <si>
    <r>
      <rPr>
        <i val="true"/>
        <sz val="10"/>
        <color rgb="FF595959"/>
        <rFont val="DejaVu Sans"/>
        <family val="2"/>
      </rPr>
      <t xml:space="preserve">改「開始日期」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DejaVu Sans"/>
        <family val="2"/>
      </rPr>
      <t xml:space="preserve">黃底</t>
    </r>
    <r>
      <rPr>
        <i val="true"/>
        <sz val="10"/>
        <color rgb="FF595959"/>
        <rFont val="Arial"/>
        <family val="0"/>
        <charset val="1"/>
      </rPr>
      <t xml:space="preserve">) </t>
    </r>
    <r>
      <rPr>
        <i val="true"/>
        <sz val="10"/>
        <color rgb="FF595959"/>
        <rFont val="DejaVu Sans"/>
        <family val="2"/>
      </rPr>
      <t xml:space="preserve">日期自動順延。每天兩題，完成就在「完成」欄選 ✓。卡關的點記在最後一欄，之後回頭複習。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</si>
</sst>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/d"/>
    <numFmt numFmtId="166" formatCode="0.0%"/>
    <numFmt numFmtId="167" formatCode="m/d&quot; (&quot;AAA\)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7C3AED"/>
      <name val="Arial"/>
      <family val="0"/>
      <charset val="1"/>
    </font>
    <font>
      <b val="true"/>
      <sz val="16"/>
      <color rgb="FF7C3AED"/>
      <name val="DejaVu Sans"/>
      <family val="2"/>
    </font>
    <font>
      <i val="true"/>
      <sz val="10"/>
      <color rgb="FF595959"/>
      <name val="DejaVu Sans"/>
      <family val="2"/>
    </font>
    <font>
      <i val="true"/>
      <sz val="10"/>
      <color rgb="FF595959"/>
      <name val="Arial"/>
      <family val="0"/>
      <charset val="1"/>
    </font>
    <font>
      <b val="true"/>
      <sz val="11"/>
      <name val="DejaVu Sans"/>
      <family val="2"/>
    </font>
    <font>
      <b val="true"/>
      <sz val="11"/>
      <color rgb="FF0000FF"/>
      <name val="Arial"/>
      <family val="0"/>
      <charset val="1"/>
    </font>
    <font>
      <b val="true"/>
      <sz val="12"/>
      <color rgb="FF7C3AED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7C3AED"/>
      <name val="DejaVu Sans"/>
      <family val="2"/>
    </font>
    <font>
      <b val="true"/>
      <sz val="11"/>
      <color rgb="FF7C3AED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EDE4FB"/>
      </patternFill>
    </fill>
    <fill>
      <patternFill patternType="solid">
        <fgColor rgb="FF7C3AED"/>
        <bgColor rgb="FF993366"/>
      </patternFill>
    </fill>
    <fill>
      <patternFill patternType="solid">
        <fgColor rgb="FFEDE4FB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C4E8"/>
      </left>
      <right style="thin">
        <color rgb="FFD0C4E8"/>
      </right>
      <top style="thin">
        <color rgb="FFD0C4E8"/>
      </top>
      <bottom style="thin">
        <color rgb="FFD0C4E8"/>
      </bottom>
      <diagonal/>
    </border>
    <border diagonalUp="false" diagonalDown="false">
      <left style="thin">
        <color rgb="FFD0C4E8"/>
      </left>
      <right/>
      <top style="thin">
        <color rgb="FFD0C4E8"/>
      </top>
      <bottom style="thin">
        <color rgb="FFD0C4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C3AED"/>
      <rgbColor rgb="FFFFF2CC"/>
      <rgbColor rgb="FFEDE4FB"/>
      <rgbColor rgb="FF660066"/>
      <rgbColor rgb="FFFF8080"/>
      <rgbColor rgb="FF0066CC"/>
      <rgbColor rgb="FFD0C4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4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n">
        <v>46178</v>
      </c>
      <c r="C4" s="5" t="s">
        <v>3</v>
      </c>
      <c r="D4" s="6" t="n">
        <f aca="false">COUNTIF(E8:E62,"✓")/50</f>
        <v>0</v>
      </c>
    </row>
    <row r="6" customFormat="false" ht="15" hidden="false" customHeight="false" outlineLevel="0" collapsed="false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</row>
    <row r="7" customFormat="false" ht="14.9" hidden="false" customHeight="false" outlineLevel="0" collapsed="false">
      <c r="A7" s="8" t="s">
        <v>10</v>
      </c>
      <c r="B7" s="8"/>
      <c r="C7" s="8"/>
      <c r="D7" s="8"/>
      <c r="E7" s="8"/>
      <c r="F7" s="8"/>
    </row>
    <row r="8" customFormat="false" ht="15" hidden="false" customHeight="false" outlineLevel="0" collapsed="false">
      <c r="A8" s="9" t="s">
        <v>11</v>
      </c>
      <c r="B8" s="10" t="n">
        <f aca="false">$B$4+0</f>
        <v>46178</v>
      </c>
      <c r="C8" s="9"/>
      <c r="D8" s="9" t="s">
        <v>12</v>
      </c>
      <c r="E8" s="9"/>
      <c r="F8" s="11"/>
    </row>
    <row r="9" customFormat="false" ht="15" hidden="false" customHeight="false" outlineLevel="0" collapsed="false">
      <c r="A9" s="9" t="s">
        <v>13</v>
      </c>
      <c r="B9" s="10" t="n">
        <f aca="false">$B$4+1</f>
        <v>46179</v>
      </c>
      <c r="C9" s="9"/>
      <c r="D9" s="9" t="s">
        <v>14</v>
      </c>
      <c r="E9" s="9"/>
      <c r="F9" s="11"/>
    </row>
    <row r="10" customFormat="false" ht="15" hidden="false" customHeight="false" outlineLevel="0" collapsed="false">
      <c r="A10" s="9" t="s">
        <v>15</v>
      </c>
      <c r="B10" s="10" t="n">
        <f aca="false">$B$4+2</f>
        <v>46180</v>
      </c>
      <c r="C10" s="9"/>
      <c r="D10" s="9" t="s">
        <v>16</v>
      </c>
      <c r="E10" s="9"/>
      <c r="F10" s="11"/>
    </row>
    <row r="11" customFormat="false" ht="15" hidden="false" customHeight="false" outlineLevel="0" collapsed="false">
      <c r="A11" s="9" t="s">
        <v>17</v>
      </c>
      <c r="B11" s="10" t="n">
        <f aca="false">$B$4+3</f>
        <v>46181</v>
      </c>
      <c r="C11" s="9"/>
      <c r="D11" s="9" t="s">
        <v>18</v>
      </c>
      <c r="E11" s="9"/>
      <c r="F11" s="11"/>
    </row>
    <row r="12" customFormat="false" ht="15" hidden="false" customHeight="false" outlineLevel="0" collapsed="false">
      <c r="A12" s="9" t="s">
        <v>19</v>
      </c>
      <c r="B12" s="10" t="n">
        <f aca="false">$B$4+4</f>
        <v>46182</v>
      </c>
      <c r="C12" s="9"/>
      <c r="D12" s="9" t="s">
        <v>20</v>
      </c>
      <c r="E12" s="9"/>
      <c r="F12" s="11"/>
    </row>
    <row r="13" customFormat="false" ht="15" hidden="false" customHeight="false" outlineLevel="0" collapsed="false">
      <c r="A13" s="9" t="s">
        <v>21</v>
      </c>
      <c r="B13" s="10" t="n">
        <f aca="false">$B$4+5</f>
        <v>46183</v>
      </c>
      <c r="C13" s="9"/>
      <c r="D13" s="9" t="s">
        <v>22</v>
      </c>
      <c r="E13" s="9"/>
      <c r="F13" s="11"/>
    </row>
    <row r="14" customFormat="false" ht="15" hidden="false" customHeight="false" outlineLevel="0" collapsed="false">
      <c r="A14" s="9" t="s">
        <v>23</v>
      </c>
      <c r="B14" s="10" t="n">
        <f aca="false">$B$4+6</f>
        <v>46184</v>
      </c>
      <c r="C14" s="9"/>
      <c r="D14" s="9" t="s">
        <v>24</v>
      </c>
      <c r="E14" s="9"/>
      <c r="F14" s="11"/>
    </row>
    <row r="15" customFormat="false" ht="15" hidden="false" customHeight="false" outlineLevel="0" collapsed="false">
      <c r="A15" s="9" t="s">
        <v>25</v>
      </c>
      <c r="B15" s="10" t="n">
        <f aca="false">$B$4+7</f>
        <v>46185</v>
      </c>
      <c r="C15" s="9"/>
      <c r="D15" s="9" t="s">
        <v>26</v>
      </c>
      <c r="E15" s="9"/>
      <c r="F15" s="11"/>
    </row>
    <row r="16" customFormat="false" ht="15" hidden="false" customHeight="false" outlineLevel="0" collapsed="false">
      <c r="A16" s="9" t="s">
        <v>27</v>
      </c>
      <c r="B16" s="10" t="n">
        <f aca="false">$B$4+8</f>
        <v>46186</v>
      </c>
      <c r="C16" s="9"/>
      <c r="D16" s="9" t="s">
        <v>28</v>
      </c>
      <c r="E16" s="9"/>
      <c r="F16" s="11"/>
    </row>
    <row r="17" customFormat="false" ht="15" hidden="false" customHeight="false" outlineLevel="0" collapsed="false">
      <c r="A17" s="9" t="s">
        <v>29</v>
      </c>
      <c r="B17" s="10" t="n">
        <f aca="false">$B$4+9</f>
        <v>46187</v>
      </c>
      <c r="C17" s="9"/>
      <c r="D17" s="9" t="s">
        <v>30</v>
      </c>
      <c r="E17" s="9"/>
      <c r="F17" s="11"/>
    </row>
    <row r="18" customFormat="false" ht="14.9" hidden="false" customHeight="false" outlineLevel="0" collapsed="false">
      <c r="A18" s="8" t="s">
        <v>31</v>
      </c>
      <c r="B18" s="8"/>
      <c r="C18" s="8"/>
      <c r="D18" s="8"/>
      <c r="E18" s="8"/>
      <c r="F18" s="8"/>
    </row>
    <row r="19" customFormat="false" ht="15" hidden="false" customHeight="false" outlineLevel="0" collapsed="false">
      <c r="A19" s="9" t="s">
        <v>32</v>
      </c>
      <c r="B19" s="10" t="n">
        <f aca="false">$B$4+10</f>
        <v>46188</v>
      </c>
      <c r="C19" s="9"/>
      <c r="D19" s="9" t="s">
        <v>33</v>
      </c>
      <c r="E19" s="9"/>
      <c r="F19" s="11"/>
    </row>
    <row r="20" customFormat="false" ht="15" hidden="false" customHeight="false" outlineLevel="0" collapsed="false">
      <c r="A20" s="9" t="s">
        <v>34</v>
      </c>
      <c r="B20" s="10" t="n">
        <f aca="false">$B$4+11</f>
        <v>46189</v>
      </c>
      <c r="C20" s="9"/>
      <c r="D20" s="9" t="s">
        <v>35</v>
      </c>
      <c r="E20" s="9"/>
      <c r="F20" s="11"/>
    </row>
    <row r="21" customFormat="false" ht="15" hidden="false" customHeight="false" outlineLevel="0" collapsed="false">
      <c r="A21" s="9" t="s">
        <v>36</v>
      </c>
      <c r="B21" s="10" t="n">
        <f aca="false">$B$4+12</f>
        <v>46190</v>
      </c>
      <c r="C21" s="9"/>
      <c r="D21" s="9" t="s">
        <v>37</v>
      </c>
      <c r="E21" s="9"/>
      <c r="F21" s="11"/>
    </row>
    <row r="22" customFormat="false" ht="15" hidden="false" customHeight="false" outlineLevel="0" collapsed="false">
      <c r="A22" s="9" t="s">
        <v>38</v>
      </c>
      <c r="B22" s="10" t="n">
        <f aca="false">$B$4+13</f>
        <v>46191</v>
      </c>
      <c r="C22" s="9"/>
      <c r="D22" s="9" t="s">
        <v>39</v>
      </c>
      <c r="E22" s="9"/>
      <c r="F22" s="11"/>
    </row>
    <row r="23" customFormat="false" ht="15" hidden="false" customHeight="false" outlineLevel="0" collapsed="false">
      <c r="A23" s="9" t="s">
        <v>40</v>
      </c>
      <c r="B23" s="10" t="n">
        <f aca="false">$B$4+14</f>
        <v>46192</v>
      </c>
      <c r="C23" s="9"/>
      <c r="D23" s="9" t="s">
        <v>41</v>
      </c>
      <c r="E23" s="9"/>
      <c r="F23" s="11"/>
    </row>
    <row r="24" customFormat="false" ht="15" hidden="false" customHeight="false" outlineLevel="0" collapsed="false">
      <c r="A24" s="9" t="s">
        <v>42</v>
      </c>
      <c r="B24" s="10" t="n">
        <f aca="false">$B$4+15</f>
        <v>46193</v>
      </c>
      <c r="C24" s="9"/>
      <c r="D24" s="9" t="s">
        <v>43</v>
      </c>
      <c r="E24" s="9"/>
      <c r="F24" s="11"/>
    </row>
    <row r="25" customFormat="false" ht="15" hidden="false" customHeight="false" outlineLevel="0" collapsed="false">
      <c r="A25" s="9" t="s">
        <v>44</v>
      </c>
      <c r="B25" s="10" t="n">
        <f aca="false">$B$4+16</f>
        <v>46194</v>
      </c>
      <c r="C25" s="9"/>
      <c r="D25" s="9" t="s">
        <v>45</v>
      </c>
      <c r="E25" s="9"/>
      <c r="F25" s="11"/>
    </row>
    <row r="26" customFormat="false" ht="15" hidden="false" customHeight="false" outlineLevel="0" collapsed="false">
      <c r="A26" s="9" t="s">
        <v>46</v>
      </c>
      <c r="B26" s="10" t="n">
        <f aca="false">$B$4+17</f>
        <v>46195</v>
      </c>
      <c r="C26" s="9"/>
      <c r="D26" s="9" t="s">
        <v>47</v>
      </c>
      <c r="E26" s="9"/>
      <c r="F26" s="11"/>
    </row>
    <row r="27" customFormat="false" ht="15" hidden="false" customHeight="false" outlineLevel="0" collapsed="false">
      <c r="A27" s="9" t="s">
        <v>48</v>
      </c>
      <c r="B27" s="10" t="n">
        <f aca="false">$B$4+18</f>
        <v>46196</v>
      </c>
      <c r="C27" s="9"/>
      <c r="D27" s="9" t="s">
        <v>49</v>
      </c>
      <c r="E27" s="9"/>
      <c r="F27" s="11"/>
    </row>
    <row r="28" customFormat="false" ht="15" hidden="false" customHeight="false" outlineLevel="0" collapsed="false">
      <c r="A28" s="9" t="s">
        <v>50</v>
      </c>
      <c r="B28" s="10" t="n">
        <f aca="false">$B$4+19</f>
        <v>46197</v>
      </c>
      <c r="C28" s="9"/>
      <c r="D28" s="9" t="s">
        <v>51</v>
      </c>
      <c r="E28" s="9"/>
      <c r="F28" s="11"/>
    </row>
    <row r="29" customFormat="false" ht="14.9" hidden="false" customHeight="false" outlineLevel="0" collapsed="false">
      <c r="A29" s="8" t="s">
        <v>52</v>
      </c>
      <c r="B29" s="8"/>
      <c r="C29" s="8"/>
      <c r="D29" s="8"/>
      <c r="E29" s="8"/>
      <c r="F29" s="8"/>
    </row>
    <row r="30" customFormat="false" ht="15" hidden="false" customHeight="false" outlineLevel="0" collapsed="false">
      <c r="A30" s="9" t="s">
        <v>53</v>
      </c>
      <c r="B30" s="10" t="n">
        <f aca="false">$B$4+20</f>
        <v>46198</v>
      </c>
      <c r="C30" s="9"/>
      <c r="D30" s="9" t="s">
        <v>54</v>
      </c>
      <c r="E30" s="9"/>
      <c r="F30" s="11"/>
    </row>
    <row r="31" customFormat="false" ht="15" hidden="false" customHeight="false" outlineLevel="0" collapsed="false">
      <c r="A31" s="9" t="s">
        <v>55</v>
      </c>
      <c r="B31" s="10" t="n">
        <f aca="false">$B$4+21</f>
        <v>46199</v>
      </c>
      <c r="C31" s="9"/>
      <c r="D31" s="9" t="s">
        <v>56</v>
      </c>
      <c r="E31" s="9"/>
      <c r="F31" s="11"/>
    </row>
    <row r="32" customFormat="false" ht="15" hidden="false" customHeight="false" outlineLevel="0" collapsed="false">
      <c r="A32" s="9" t="s">
        <v>57</v>
      </c>
      <c r="B32" s="10" t="n">
        <f aca="false">$B$4+22</f>
        <v>46200</v>
      </c>
      <c r="C32" s="9"/>
      <c r="D32" s="9" t="s">
        <v>58</v>
      </c>
      <c r="E32" s="9"/>
      <c r="F32" s="11"/>
    </row>
    <row r="33" customFormat="false" ht="15" hidden="false" customHeight="false" outlineLevel="0" collapsed="false">
      <c r="A33" s="9" t="s">
        <v>59</v>
      </c>
      <c r="B33" s="10" t="n">
        <f aca="false">$B$4+23</f>
        <v>46201</v>
      </c>
      <c r="C33" s="9"/>
      <c r="D33" s="9" t="s">
        <v>60</v>
      </c>
      <c r="E33" s="9"/>
      <c r="F33" s="11"/>
    </row>
    <row r="34" customFormat="false" ht="15" hidden="false" customHeight="false" outlineLevel="0" collapsed="false">
      <c r="A34" s="9" t="s">
        <v>61</v>
      </c>
      <c r="B34" s="10" t="n">
        <f aca="false">$B$4+24</f>
        <v>46202</v>
      </c>
      <c r="C34" s="9"/>
      <c r="D34" s="9" t="s">
        <v>62</v>
      </c>
      <c r="E34" s="9"/>
      <c r="F34" s="11"/>
    </row>
    <row r="35" customFormat="false" ht="15" hidden="false" customHeight="false" outlineLevel="0" collapsed="false">
      <c r="A35" s="9" t="s">
        <v>63</v>
      </c>
      <c r="B35" s="10" t="n">
        <f aca="false">$B$4+25</f>
        <v>46203</v>
      </c>
      <c r="C35" s="9"/>
      <c r="D35" s="9" t="s">
        <v>64</v>
      </c>
      <c r="E35" s="9"/>
      <c r="F35" s="11"/>
    </row>
    <row r="36" customFormat="false" ht="15" hidden="false" customHeight="false" outlineLevel="0" collapsed="false">
      <c r="A36" s="9" t="s">
        <v>65</v>
      </c>
      <c r="B36" s="10" t="n">
        <f aca="false">$B$4+26</f>
        <v>46204</v>
      </c>
      <c r="C36" s="9"/>
      <c r="D36" s="9" t="s">
        <v>66</v>
      </c>
      <c r="E36" s="9"/>
      <c r="F36" s="11"/>
    </row>
    <row r="37" customFormat="false" ht="15" hidden="false" customHeight="false" outlineLevel="0" collapsed="false">
      <c r="A37" s="9" t="s">
        <v>67</v>
      </c>
      <c r="B37" s="10" t="n">
        <f aca="false">$B$4+27</f>
        <v>46205</v>
      </c>
      <c r="C37" s="9"/>
      <c r="D37" s="9" t="s">
        <v>68</v>
      </c>
      <c r="E37" s="9"/>
      <c r="F37" s="11"/>
    </row>
    <row r="38" customFormat="false" ht="15" hidden="false" customHeight="false" outlineLevel="0" collapsed="false">
      <c r="A38" s="9" t="s">
        <v>69</v>
      </c>
      <c r="B38" s="10" t="n">
        <f aca="false">$B$4+28</f>
        <v>46206</v>
      </c>
      <c r="C38" s="9"/>
      <c r="D38" s="9" t="s">
        <v>70</v>
      </c>
      <c r="E38" s="9"/>
      <c r="F38" s="11"/>
    </row>
    <row r="39" customFormat="false" ht="15" hidden="false" customHeight="false" outlineLevel="0" collapsed="false">
      <c r="A39" s="9" t="s">
        <v>71</v>
      </c>
      <c r="B39" s="10" t="n">
        <f aca="false">$B$4+29</f>
        <v>46207</v>
      </c>
      <c r="C39" s="9"/>
      <c r="D39" s="9" t="s">
        <v>72</v>
      </c>
      <c r="E39" s="9"/>
      <c r="F39" s="11"/>
    </row>
    <row r="40" customFormat="false" ht="14.9" hidden="false" customHeight="false" outlineLevel="0" collapsed="false">
      <c r="A40" s="8" t="s">
        <v>73</v>
      </c>
      <c r="B40" s="8"/>
      <c r="C40" s="8"/>
      <c r="D40" s="8"/>
      <c r="E40" s="8"/>
      <c r="F40" s="8"/>
    </row>
    <row r="41" customFormat="false" ht="15" hidden="false" customHeight="false" outlineLevel="0" collapsed="false">
      <c r="A41" s="9" t="s">
        <v>74</v>
      </c>
      <c r="B41" s="10" t="n">
        <f aca="false">$B$4+30</f>
        <v>46208</v>
      </c>
      <c r="C41" s="9"/>
      <c r="D41" s="9" t="s">
        <v>75</v>
      </c>
      <c r="E41" s="9"/>
      <c r="F41" s="11"/>
    </row>
    <row r="42" customFormat="false" ht="15" hidden="false" customHeight="false" outlineLevel="0" collapsed="false">
      <c r="A42" s="9" t="s">
        <v>76</v>
      </c>
      <c r="B42" s="10" t="n">
        <f aca="false">$B$4+31</f>
        <v>46209</v>
      </c>
      <c r="C42" s="9"/>
      <c r="D42" s="9" t="s">
        <v>77</v>
      </c>
      <c r="E42" s="9"/>
      <c r="F42" s="11"/>
    </row>
    <row r="43" customFormat="false" ht="15" hidden="false" customHeight="false" outlineLevel="0" collapsed="false">
      <c r="A43" s="9" t="s">
        <v>78</v>
      </c>
      <c r="B43" s="10" t="n">
        <f aca="false">$B$4+32</f>
        <v>46210</v>
      </c>
      <c r="C43" s="9"/>
      <c r="D43" s="9" t="s">
        <v>79</v>
      </c>
      <c r="E43" s="9"/>
      <c r="F43" s="11"/>
    </row>
    <row r="44" customFormat="false" ht="15" hidden="false" customHeight="false" outlineLevel="0" collapsed="false">
      <c r="A44" s="9" t="s">
        <v>80</v>
      </c>
      <c r="B44" s="10" t="n">
        <f aca="false">$B$4+33</f>
        <v>46211</v>
      </c>
      <c r="C44" s="9"/>
      <c r="D44" s="9" t="s">
        <v>81</v>
      </c>
      <c r="E44" s="9"/>
      <c r="F44" s="11"/>
    </row>
    <row r="45" customFormat="false" ht="15" hidden="false" customHeight="false" outlineLevel="0" collapsed="false">
      <c r="A45" s="9" t="s">
        <v>82</v>
      </c>
      <c r="B45" s="10" t="n">
        <f aca="false">$B$4+34</f>
        <v>46212</v>
      </c>
      <c r="C45" s="9"/>
      <c r="D45" s="9" t="s">
        <v>83</v>
      </c>
      <c r="E45" s="9"/>
      <c r="F45" s="11"/>
    </row>
    <row r="46" customFormat="false" ht="15" hidden="false" customHeight="false" outlineLevel="0" collapsed="false">
      <c r="A46" s="9" t="s">
        <v>84</v>
      </c>
      <c r="B46" s="10" t="n">
        <f aca="false">$B$4+35</f>
        <v>46213</v>
      </c>
      <c r="C46" s="9"/>
      <c r="D46" s="9" t="s">
        <v>85</v>
      </c>
      <c r="E46" s="9"/>
      <c r="F46" s="11"/>
    </row>
    <row r="47" customFormat="false" ht="15" hidden="false" customHeight="false" outlineLevel="0" collapsed="false">
      <c r="A47" s="9" t="s">
        <v>86</v>
      </c>
      <c r="B47" s="10" t="n">
        <f aca="false">$B$4+36</f>
        <v>46214</v>
      </c>
      <c r="C47" s="9"/>
      <c r="D47" s="9" t="s">
        <v>87</v>
      </c>
      <c r="E47" s="9"/>
      <c r="F47" s="11"/>
    </row>
    <row r="48" customFormat="false" ht="15" hidden="false" customHeight="false" outlineLevel="0" collapsed="false">
      <c r="A48" s="9" t="s">
        <v>88</v>
      </c>
      <c r="B48" s="10" t="n">
        <f aca="false">$B$4+37</f>
        <v>46215</v>
      </c>
      <c r="C48" s="9"/>
      <c r="D48" s="9" t="s">
        <v>89</v>
      </c>
      <c r="E48" s="9"/>
      <c r="F48" s="11"/>
    </row>
    <row r="49" customFormat="false" ht="15" hidden="false" customHeight="false" outlineLevel="0" collapsed="false">
      <c r="A49" s="9" t="s">
        <v>90</v>
      </c>
      <c r="B49" s="10" t="n">
        <f aca="false">$B$4+38</f>
        <v>46216</v>
      </c>
      <c r="C49" s="9"/>
      <c r="D49" s="9" t="s">
        <v>91</v>
      </c>
      <c r="E49" s="9"/>
      <c r="F49" s="11"/>
    </row>
    <row r="50" customFormat="false" ht="15" hidden="false" customHeight="false" outlineLevel="0" collapsed="false">
      <c r="A50" s="9" t="s">
        <v>92</v>
      </c>
      <c r="B50" s="10" t="n">
        <f aca="false">$B$4+39</f>
        <v>46217</v>
      </c>
      <c r="C50" s="9"/>
      <c r="D50" s="9" t="s">
        <v>93</v>
      </c>
      <c r="E50" s="9"/>
      <c r="F50" s="11"/>
    </row>
    <row r="51" customFormat="false" ht="14.9" hidden="false" customHeight="false" outlineLevel="0" collapsed="false">
      <c r="A51" s="8" t="s">
        <v>94</v>
      </c>
      <c r="B51" s="8"/>
      <c r="C51" s="8"/>
      <c r="D51" s="8"/>
      <c r="E51" s="8"/>
      <c r="F51" s="8"/>
    </row>
    <row r="52" customFormat="false" ht="15" hidden="false" customHeight="false" outlineLevel="0" collapsed="false">
      <c r="A52" s="9" t="s">
        <v>95</v>
      </c>
      <c r="B52" s="10" t="n">
        <f aca="false">$B$4+40</f>
        <v>46218</v>
      </c>
      <c r="C52" s="9"/>
      <c r="D52" s="9" t="s">
        <v>96</v>
      </c>
      <c r="E52" s="9"/>
      <c r="F52" s="11"/>
    </row>
    <row r="53" customFormat="false" ht="15" hidden="false" customHeight="false" outlineLevel="0" collapsed="false">
      <c r="A53" s="9" t="s">
        <v>97</v>
      </c>
      <c r="B53" s="10" t="n">
        <f aca="false">$B$4+41</f>
        <v>46219</v>
      </c>
      <c r="C53" s="9"/>
      <c r="D53" s="9" t="s">
        <v>98</v>
      </c>
      <c r="E53" s="9"/>
      <c r="F53" s="11"/>
    </row>
    <row r="54" customFormat="false" ht="15" hidden="false" customHeight="false" outlineLevel="0" collapsed="false">
      <c r="A54" s="9" t="s">
        <v>99</v>
      </c>
      <c r="B54" s="10" t="n">
        <f aca="false">$B$4+42</f>
        <v>46220</v>
      </c>
      <c r="C54" s="9"/>
      <c r="D54" s="9" t="s">
        <v>100</v>
      </c>
      <c r="E54" s="9"/>
      <c r="F54" s="11"/>
    </row>
    <row r="55" customFormat="false" ht="15" hidden="false" customHeight="false" outlineLevel="0" collapsed="false">
      <c r="A55" s="9" t="s">
        <v>101</v>
      </c>
      <c r="B55" s="10" t="n">
        <f aca="false">$B$4+43</f>
        <v>46221</v>
      </c>
      <c r="C55" s="9"/>
      <c r="D55" s="9" t="s">
        <v>102</v>
      </c>
      <c r="E55" s="9"/>
      <c r="F55" s="11"/>
    </row>
    <row r="56" customFormat="false" ht="15" hidden="false" customHeight="false" outlineLevel="0" collapsed="false">
      <c r="A56" s="9" t="s">
        <v>103</v>
      </c>
      <c r="B56" s="10" t="n">
        <f aca="false">$B$4+44</f>
        <v>46222</v>
      </c>
      <c r="C56" s="9"/>
      <c r="D56" s="9" t="s">
        <v>104</v>
      </c>
      <c r="E56" s="9"/>
      <c r="F56" s="11"/>
    </row>
    <row r="57" customFormat="false" ht="15" hidden="false" customHeight="false" outlineLevel="0" collapsed="false">
      <c r="A57" s="9" t="s">
        <v>105</v>
      </c>
      <c r="B57" s="10" t="n">
        <f aca="false">$B$4+45</f>
        <v>46223</v>
      </c>
      <c r="C57" s="9"/>
      <c r="D57" s="9" t="s">
        <v>106</v>
      </c>
      <c r="E57" s="9"/>
      <c r="F57" s="11"/>
    </row>
    <row r="58" customFormat="false" ht="15" hidden="false" customHeight="false" outlineLevel="0" collapsed="false">
      <c r="A58" s="9" t="s">
        <v>107</v>
      </c>
      <c r="B58" s="10" t="n">
        <f aca="false">$B$4+46</f>
        <v>46224</v>
      </c>
      <c r="C58" s="9"/>
      <c r="D58" s="9" t="s">
        <v>108</v>
      </c>
      <c r="E58" s="9"/>
      <c r="F58" s="11"/>
    </row>
    <row r="59" customFormat="false" ht="15" hidden="false" customHeight="false" outlineLevel="0" collapsed="false">
      <c r="A59" s="9" t="s">
        <v>109</v>
      </c>
      <c r="B59" s="10" t="n">
        <f aca="false">$B$4+47</f>
        <v>46225</v>
      </c>
      <c r="C59" s="9"/>
      <c r="D59" s="9" t="s">
        <v>110</v>
      </c>
      <c r="E59" s="9"/>
      <c r="F59" s="11"/>
    </row>
    <row r="60" customFormat="false" ht="15" hidden="false" customHeight="false" outlineLevel="0" collapsed="false">
      <c r="A60" s="9" t="s">
        <v>111</v>
      </c>
      <c r="B60" s="10" t="n">
        <f aca="false">$B$4+48</f>
        <v>46226</v>
      </c>
      <c r="C60" s="9"/>
      <c r="D60" s="9" t="s">
        <v>112</v>
      </c>
      <c r="E60" s="9"/>
      <c r="F60" s="11"/>
    </row>
    <row r="61" customFormat="false" ht="15" hidden="false" customHeight="false" outlineLevel="0" collapsed="false">
      <c r="A61" s="9" t="s">
        <v>113</v>
      </c>
      <c r="B61" s="10" t="n">
        <f aca="false">$B$4+49</f>
        <v>46227</v>
      </c>
      <c r="C61" s="9"/>
      <c r="D61" s="9" t="s">
        <v>114</v>
      </c>
      <c r="E61" s="9"/>
      <c r="F61" s="11"/>
    </row>
    <row r="63" customFormat="false" ht="15" hidden="false" customHeight="false" outlineLevel="0" collapsed="false">
      <c r="A63" s="3" t="s">
        <v>115</v>
      </c>
      <c r="B63" s="2" t="s">
        <v>116</v>
      </c>
      <c r="C63" s="2"/>
      <c r="D63" s="2"/>
      <c r="E63" s="2"/>
      <c r="F63" s="2"/>
    </row>
  </sheetData>
  <mergeCells count="8">
    <mergeCell ref="A1:F1"/>
    <mergeCell ref="A2:F2"/>
    <mergeCell ref="A7:F7"/>
    <mergeCell ref="A18:F18"/>
    <mergeCell ref="A29:F29"/>
    <mergeCell ref="A40:F40"/>
    <mergeCell ref="A51:F51"/>
    <mergeCell ref="B63:F63"/>
  </mergeCells>
  <dataValidations count="1">
    <dataValidation allowBlank="true" errorStyle="stop" operator="between" showDropDown="false" showErrorMessage="false" showInputMessage="false" sqref="E8:E62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2026-06-05T02:55:35Z</dcterms:created>
  <dc:creator>openpyxl</dc:creator>
  <dc:description/>
  <dc:language>en-US</dc:language>
  <cp:lastModifiedBy/>
  <dcterms:modified xsi:type="dcterms:W3CDTF">2026-06-05T02:55:35Z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